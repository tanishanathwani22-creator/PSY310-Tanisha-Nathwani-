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sychopie_final\word_priming\data\analysis\"/>
    </mc:Choice>
  </mc:AlternateContent>
  <xr:revisionPtr revIDLastSave="0" documentId="13_ncr:1_{F0804CB0-EC44-4D49-8C17-06ED9E9874FE}" xr6:coauthVersionLast="47" xr6:coauthVersionMax="47" xr10:uidLastSave="{00000000-0000-0000-0000-000000000000}"/>
  <bookViews>
    <workbookView xWindow="-110" yWindow="-110" windowWidth="19420" windowHeight="10300" xr2:uid="{E67ECCFD-55DE-40D2-8CA9-C294B9D7B8B3}"/>
  </bookViews>
  <sheets>
    <sheet name="767670_word priming_2025-10-13_" sheetId="1" r:id="rId1"/>
  </sheets>
  <definedNames>
    <definedName name="_xlnm._FilterDatabase" localSheetId="0" hidden="1">'767670_word priming_2025-10-13_'!$H$1:$J$36</definedName>
  </definedNames>
  <calcPr calcId="191029"/>
</workbook>
</file>

<file path=xl/calcChain.xml><?xml version="1.0" encoding="utf-8"?>
<calcChain xmlns="http://schemas.openxmlformats.org/spreadsheetml/2006/main">
  <c r="E31" i="1" l="1"/>
  <c r="E30" i="1"/>
  <c r="E29" i="1"/>
  <c r="D31" i="1"/>
</calcChain>
</file>

<file path=xl/sharedStrings.xml><?xml version="1.0" encoding="utf-8"?>
<sst xmlns="http://schemas.openxmlformats.org/spreadsheetml/2006/main" count="517" uniqueCount="160">
  <si>
    <t>study_word</t>
  </si>
  <si>
    <t>thisN</t>
  </si>
  <si>
    <t>thisTrialN</t>
  </si>
  <si>
    <t>thisRepN</t>
  </si>
  <si>
    <t>slider.response</t>
  </si>
  <si>
    <t>slider.rt</t>
  </si>
  <si>
    <t>test</t>
  </si>
  <si>
    <t>References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</si>
  <si>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</si>
  <si>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</si>
  <si>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</si>
  <si>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</si>
  <si>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</si>
  <si>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</si>
  <si>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</si>
  <si>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</si>
  <si>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</si>
  <si>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</si>
  <si>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</si>
  <si>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</si>
  <si>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</si>
  <si>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</si>
  <si>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</si>
  <si>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</si>
  <si>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</si>
  <si>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</si>
  <si>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</si>
  <si>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</si>
  <si>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</si>
  <si>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</si>
  <si>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</si>
  <si>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</si>
  <si>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</si>
  <si>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test_rotine.started</t>
  </si>
  <si>
    <t>text_2.started</t>
  </si>
  <si>
    <t>textbox.started</t>
  </si>
  <si>
    <t>text_3.started</t>
  </si>
  <si>
    <t>mouse.started</t>
  </si>
  <si>
    <t>test_rotine.stopped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</si>
  <si>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</si>
  <si>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</si>
  <si>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</si>
  <si>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</si>
  <si>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</si>
  <si>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</si>
  <si>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</si>
  <si>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</si>
  <si>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</si>
  <si>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</si>
  <si>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</si>
  <si>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</si>
  <si>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</si>
  <si>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</si>
  <si>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</si>
  <si>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</si>
  <si>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2025-10-13_12h25.52.154</t>
  </si>
  <si>
    <t>word priming</t>
  </si>
  <si>
    <t>2025.1.1</t>
  </si>
  <si>
    <t>2025-10-13 12h25.56.152563 +0530</t>
  </si>
  <si>
    <t>Mouse</t>
  </si>
  <si>
    <t>Marble</t>
  </si>
  <si>
    <t>Pastry</t>
  </si>
  <si>
    <t>Cruise</t>
  </si>
  <si>
    <t>Case</t>
  </si>
  <si>
    <t>Poster</t>
  </si>
  <si>
    <t>Cushion</t>
  </si>
  <si>
    <t>Police</t>
  </si>
  <si>
    <t>Book</t>
  </si>
  <si>
    <t>Laptop</t>
  </si>
  <si>
    <t>Phone</t>
  </si>
  <si>
    <t>Board</t>
  </si>
  <si>
    <t>Keys</t>
  </si>
  <si>
    <t>C_s_</t>
  </si>
  <si>
    <t>Old</t>
  </si>
  <si>
    <t>cushion</t>
  </si>
  <si>
    <t>[np.float64(0.000925925925925926)]</t>
  </si>
  <si>
    <t>[np.float64(-0.2972222222222222)]</t>
  </si>
  <si>
    <t>[1]</t>
  </si>
  <si>
    <t>[0]</t>
  </si>
  <si>
    <t>[4.330696900000021]</t>
  </si>
  <si>
    <t>['text_3']</t>
  </si>
  <si>
    <t>_o_rd</t>
  </si>
  <si>
    <t>chord</t>
  </si>
  <si>
    <t>[3.445065599999907]</t>
  </si>
  <si>
    <t>T_hi_t</t>
  </si>
  <si>
    <t>T-shirt</t>
  </si>
  <si>
    <t>tshirt</t>
  </si>
  <si>
    <t>[3.4788705000000846]</t>
  </si>
  <si>
    <t>P_s_r_</t>
  </si>
  <si>
    <t>poster</t>
  </si>
  <si>
    <t>[3.3155232000003707]</t>
  </si>
  <si>
    <t>_ho_e</t>
  </si>
  <si>
    <t>whole</t>
  </si>
  <si>
    <t>[6.960394400000041]</t>
  </si>
  <si>
    <t>_oo_</t>
  </si>
  <si>
    <t>book</t>
  </si>
  <si>
    <t>[1.9960042999996404]</t>
  </si>
  <si>
    <t>P_st_r</t>
  </si>
  <si>
    <t>pastry</t>
  </si>
  <si>
    <t>[5.065218000000186]</t>
  </si>
  <si>
    <t>P_li_e</t>
  </si>
  <si>
    <t>police</t>
  </si>
  <si>
    <t>[np.float64(-0.025925925925925925)]</t>
  </si>
  <si>
    <t>[np.float64(-0.29814814814814816)]</t>
  </si>
  <si>
    <t>[4.376397700000325]</t>
  </si>
  <si>
    <t>Bo_t_e</t>
  </si>
  <si>
    <t xml:space="preserve">Bottle </t>
  </si>
  <si>
    <t>New</t>
  </si>
  <si>
    <t>bottle</t>
  </si>
  <si>
    <t>[3.1148975000000974]</t>
  </si>
  <si>
    <t>Ta_l_</t>
  </si>
  <si>
    <t>Table</t>
  </si>
  <si>
    <t>table</t>
  </si>
  <si>
    <t>[3.2463462999999138]</t>
  </si>
  <si>
    <t>C_s_io_</t>
  </si>
  <si>
    <t xml:space="preserve">cushion </t>
  </si>
  <si>
    <t>[3.9127928999996584]</t>
  </si>
  <si>
    <t>L_pt_p</t>
  </si>
  <si>
    <t>laptop</t>
  </si>
  <si>
    <t>[3.7601904000002833]</t>
  </si>
  <si>
    <t>C_m_ra</t>
  </si>
  <si>
    <t>Camera</t>
  </si>
  <si>
    <t>camera</t>
  </si>
  <si>
    <t>[2.7461223000000246]</t>
  </si>
  <si>
    <t>_ru_s_</t>
  </si>
  <si>
    <t>[]</t>
  </si>
  <si>
    <t>K_y_</t>
  </si>
  <si>
    <t xml:space="preserve">keys </t>
  </si>
  <si>
    <t>[np.float64(-0.012962962962962963), np.float64(-0.03333333333333333)]</t>
  </si>
  <si>
    <t>[np.float64(-0.34629629629629627), np.float64(-0.2935185185185185)]</t>
  </si>
  <si>
    <t>[1, 1]</t>
  </si>
  <si>
    <t>[0, 0]</t>
  </si>
  <si>
    <t>[7.663585799999964, 8.832412300000215]</t>
  </si>
  <si>
    <t>[None, 'text_3']</t>
  </si>
  <si>
    <t>_a_bl_</t>
  </si>
  <si>
    <t>cable</t>
  </si>
  <si>
    <t>[np.float64(-0.03333333333333333)]</t>
  </si>
  <si>
    <t>[np.float64(-0.2935185185185185)]</t>
  </si>
  <si>
    <t>[5.495675399999982]</t>
  </si>
  <si>
    <t>_o_se</t>
  </si>
  <si>
    <t>V_s_</t>
  </si>
  <si>
    <t>Vase</t>
  </si>
  <si>
    <t>_ha_t</t>
  </si>
  <si>
    <t xml:space="preserve">Chart </t>
  </si>
  <si>
    <t>chart</t>
  </si>
  <si>
    <t>[np.float64(0.04537037037037037)]</t>
  </si>
  <si>
    <t>[np.float64(-0.3277777777777778)]</t>
  </si>
  <si>
    <t>[7.297742599999765]</t>
  </si>
  <si>
    <t>P_nc_l</t>
  </si>
  <si>
    <t>Pencil</t>
  </si>
  <si>
    <t>pencil</t>
  </si>
  <si>
    <t>[4.695383499999934]</t>
  </si>
  <si>
    <t xml:space="preserve">total words </t>
  </si>
  <si>
    <t>Primed_words</t>
  </si>
  <si>
    <t>non_primed words</t>
  </si>
  <si>
    <t>participant's score</t>
  </si>
  <si>
    <t>primed_words hit</t>
  </si>
  <si>
    <t>non_primed word hit</t>
  </si>
  <si>
    <t xml:space="preserve">priming score </t>
  </si>
  <si>
    <t>proportion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</si>
</sst>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DD97-3996-4D2F-8826-E39B9250C055}">
  <dimension ref="A1:BC31"/>
  <sheetViews>
    <sheetView tabSelected="1" topLeftCell="A21" workbookViewId="0">
      <selection activeCell="E31" sqref="E31"/>
    </sheetView>
  </sheetViews>
  <sheetFormatPr defaultRowHeight="14.5" x14ac:dyDescent="0.35"/>
  <cols>
    <col min="3" max="3" width="23.6328125" customWidth="1"/>
  </cols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B2">
        <v>0</v>
      </c>
      <c r="C2">
        <v>0</v>
      </c>
      <c r="D2">
        <v>0</v>
      </c>
      <c r="G2" t="s">
        <v>72</v>
      </c>
      <c r="H2" t="s">
        <v>63</v>
      </c>
      <c r="I2" t="s">
        <v>73</v>
      </c>
      <c r="J2" t="s">
        <v>74</v>
      </c>
      <c r="K2" t="s">
        <v>75</v>
      </c>
      <c r="L2" t="s">
        <v>76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V2">
        <v>0</v>
      </c>
      <c r="W2">
        <v>0</v>
      </c>
      <c r="X2">
        <v>0</v>
      </c>
      <c r="Y2">
        <v>5</v>
      </c>
      <c r="Z2">
        <v>15.4304205999997</v>
      </c>
      <c r="AH2">
        <v>15.413988899999801</v>
      </c>
      <c r="AI2">
        <v>15.4304205999997</v>
      </c>
      <c r="AJ2">
        <v>15.4304205999997</v>
      </c>
      <c r="AK2">
        <v>15.4304205999997</v>
      </c>
      <c r="AL2">
        <v>1.92590999999993E-2</v>
      </c>
      <c r="AM2">
        <v>19.745045399999899</v>
      </c>
      <c r="AN2" t="s">
        <v>74</v>
      </c>
      <c r="AO2" t="s">
        <v>75</v>
      </c>
      <c r="AP2" t="s">
        <v>76</v>
      </c>
      <c r="AQ2" t="s">
        <v>77</v>
      </c>
      <c r="AR2" t="s">
        <v>78</v>
      </c>
      <c r="AS2" t="s">
        <v>78</v>
      </c>
      <c r="AT2" t="s">
        <v>79</v>
      </c>
      <c r="AU2" t="s">
        <v>80</v>
      </c>
      <c r="AV2">
        <v>767670</v>
      </c>
      <c r="AW2">
        <v>1</v>
      </c>
      <c r="AX2" t="s">
        <v>55</v>
      </c>
      <c r="AY2" t="s">
        <v>56</v>
      </c>
      <c r="BA2" t="s">
        <v>57</v>
      </c>
      <c r="BB2">
        <v>59.885403292309498</v>
      </c>
      <c r="BC2" t="s">
        <v>58</v>
      </c>
    </row>
    <row r="3" spans="1:55" x14ac:dyDescent="0.35">
      <c r="B3">
        <v>1</v>
      </c>
      <c r="C3">
        <v>1</v>
      </c>
      <c r="D3">
        <v>0</v>
      </c>
      <c r="G3" t="s">
        <v>81</v>
      </c>
      <c r="H3" t="s">
        <v>70</v>
      </c>
      <c r="I3" t="s">
        <v>73</v>
      </c>
      <c r="J3" t="s">
        <v>82</v>
      </c>
      <c r="K3" t="s">
        <v>75</v>
      </c>
      <c r="L3" t="s">
        <v>76</v>
      </c>
      <c r="M3" t="s">
        <v>77</v>
      </c>
      <c r="N3" t="s">
        <v>78</v>
      </c>
      <c r="O3" t="s">
        <v>78</v>
      </c>
      <c r="P3" t="s">
        <v>83</v>
      </c>
      <c r="Q3" t="s">
        <v>80</v>
      </c>
      <c r="V3">
        <v>0</v>
      </c>
      <c r="W3">
        <v>1</v>
      </c>
      <c r="X3">
        <v>1</v>
      </c>
      <c r="Y3">
        <v>10</v>
      </c>
      <c r="Z3">
        <v>19.7628585999996</v>
      </c>
      <c r="AH3">
        <v>19.748899099999999</v>
      </c>
      <c r="AI3">
        <v>19.7628585999996</v>
      </c>
      <c r="AJ3">
        <v>19.7628585999996</v>
      </c>
      <c r="AK3">
        <v>19.7628585999996</v>
      </c>
      <c r="AL3">
        <v>3.65330000022368E-3</v>
      </c>
      <c r="AM3">
        <v>23.194279999999701</v>
      </c>
      <c r="AN3" t="s">
        <v>82</v>
      </c>
      <c r="AO3" t="s">
        <v>75</v>
      </c>
      <c r="AP3" t="s">
        <v>76</v>
      </c>
      <c r="AQ3" t="s">
        <v>77</v>
      </c>
      <c r="AR3" t="s">
        <v>78</v>
      </c>
      <c r="AS3" t="s">
        <v>78</v>
      </c>
      <c r="AT3" t="s">
        <v>83</v>
      </c>
      <c r="AU3" t="s">
        <v>80</v>
      </c>
      <c r="AV3">
        <v>767670</v>
      </c>
      <c r="AW3">
        <v>1</v>
      </c>
      <c r="AX3" t="s">
        <v>55</v>
      </c>
      <c r="AY3" t="s">
        <v>56</v>
      </c>
      <c r="BA3" t="s">
        <v>57</v>
      </c>
      <c r="BB3">
        <v>59.885403292309498</v>
      </c>
      <c r="BC3" t="s">
        <v>58</v>
      </c>
    </row>
    <row r="4" spans="1:55" x14ac:dyDescent="0.35">
      <c r="B4">
        <v>2</v>
      </c>
      <c r="C4">
        <v>2</v>
      </c>
      <c r="D4">
        <v>0</v>
      </c>
      <c r="G4" t="s">
        <v>84</v>
      </c>
      <c r="H4" t="s">
        <v>85</v>
      </c>
      <c r="I4" t="s">
        <v>73</v>
      </c>
      <c r="J4" t="s">
        <v>86</v>
      </c>
      <c r="K4" t="s">
        <v>75</v>
      </c>
      <c r="L4" t="s">
        <v>76</v>
      </c>
      <c r="M4" t="s">
        <v>77</v>
      </c>
      <c r="N4" t="s">
        <v>78</v>
      </c>
      <c r="O4" t="s">
        <v>78</v>
      </c>
      <c r="P4" t="s">
        <v>87</v>
      </c>
      <c r="Q4" t="s">
        <v>80</v>
      </c>
      <c r="V4">
        <v>0</v>
      </c>
      <c r="W4">
        <v>2</v>
      </c>
      <c r="X4">
        <v>2</v>
      </c>
      <c r="Y4">
        <v>2</v>
      </c>
      <c r="Z4">
        <v>23.212631399999701</v>
      </c>
      <c r="AH4">
        <v>23.198181399999601</v>
      </c>
      <c r="AI4">
        <v>23.212631399999701</v>
      </c>
      <c r="AJ4">
        <v>23.212631399999701</v>
      </c>
      <c r="AK4">
        <v>23.212631399999701</v>
      </c>
      <c r="AL4">
        <v>3.77140000000508E-3</v>
      </c>
      <c r="AM4">
        <v>26.6773772999999</v>
      </c>
      <c r="AN4" t="s">
        <v>86</v>
      </c>
      <c r="AO4" t="s">
        <v>75</v>
      </c>
      <c r="AP4" t="s">
        <v>76</v>
      </c>
      <c r="AQ4" t="s">
        <v>77</v>
      </c>
      <c r="AR4" t="s">
        <v>78</v>
      </c>
      <c r="AS4" t="s">
        <v>78</v>
      </c>
      <c r="AT4" t="s">
        <v>87</v>
      </c>
      <c r="AU4" t="s">
        <v>80</v>
      </c>
      <c r="AV4">
        <v>767670</v>
      </c>
      <c r="AW4">
        <v>1</v>
      </c>
      <c r="AX4" t="s">
        <v>55</v>
      </c>
      <c r="AY4" t="s">
        <v>56</v>
      </c>
      <c r="BA4" t="s">
        <v>57</v>
      </c>
      <c r="BB4">
        <v>59.885403292309498</v>
      </c>
      <c r="BC4" t="s">
        <v>58</v>
      </c>
    </row>
    <row r="5" spans="1:55" x14ac:dyDescent="0.35">
      <c r="B5">
        <v>3</v>
      </c>
      <c r="C5">
        <v>3</v>
      </c>
      <c r="D5">
        <v>0</v>
      </c>
      <c r="G5" t="s">
        <v>88</v>
      </c>
      <c r="H5" t="s">
        <v>61</v>
      </c>
      <c r="I5" t="s">
        <v>73</v>
      </c>
      <c r="J5" t="s">
        <v>89</v>
      </c>
      <c r="K5" t="s">
        <v>75</v>
      </c>
      <c r="L5" t="s">
        <v>76</v>
      </c>
      <c r="M5" t="s">
        <v>77</v>
      </c>
      <c r="N5" t="s">
        <v>78</v>
      </c>
      <c r="O5" t="s">
        <v>78</v>
      </c>
      <c r="P5" t="s">
        <v>90</v>
      </c>
      <c r="Q5" t="s">
        <v>80</v>
      </c>
      <c r="V5">
        <v>0</v>
      </c>
      <c r="W5">
        <v>3</v>
      </c>
      <c r="X5">
        <v>3</v>
      </c>
      <c r="Y5">
        <v>4</v>
      </c>
      <c r="Z5">
        <v>26.694283999999598</v>
      </c>
      <c r="AH5">
        <v>26.6807991999999</v>
      </c>
      <c r="AI5">
        <v>26.694283999999598</v>
      </c>
      <c r="AJ5">
        <v>26.694283999999598</v>
      </c>
      <c r="AK5">
        <v>26.694283999999598</v>
      </c>
      <c r="AL5">
        <v>3.2776000002741001E-3</v>
      </c>
      <c r="AM5">
        <v>29.996698999999801</v>
      </c>
      <c r="AN5" t="s">
        <v>89</v>
      </c>
      <c r="AO5" t="s">
        <v>75</v>
      </c>
      <c r="AP5" t="s">
        <v>76</v>
      </c>
      <c r="AQ5" t="s">
        <v>77</v>
      </c>
      <c r="AR5" t="s">
        <v>78</v>
      </c>
      <c r="AS5" t="s">
        <v>78</v>
      </c>
      <c r="AT5" t="s">
        <v>90</v>
      </c>
      <c r="AU5" t="s">
        <v>80</v>
      </c>
      <c r="AV5">
        <v>767670</v>
      </c>
      <c r="AW5">
        <v>1</v>
      </c>
      <c r="AX5" t="s">
        <v>55</v>
      </c>
      <c r="AY5" t="s">
        <v>56</v>
      </c>
      <c r="BA5" t="s">
        <v>57</v>
      </c>
      <c r="BB5">
        <v>59.885403292309498</v>
      </c>
      <c r="BC5" t="s">
        <v>58</v>
      </c>
    </row>
    <row r="6" spans="1:55" x14ac:dyDescent="0.35">
      <c r="B6">
        <v>4</v>
      </c>
      <c r="C6">
        <v>4</v>
      </c>
      <c r="D6">
        <v>0</v>
      </c>
      <c r="G6" t="s">
        <v>91</v>
      </c>
      <c r="H6" t="s">
        <v>69</v>
      </c>
      <c r="I6" t="s">
        <v>73</v>
      </c>
      <c r="J6" t="s">
        <v>92</v>
      </c>
      <c r="K6" t="s">
        <v>75</v>
      </c>
      <c r="L6" t="s">
        <v>76</v>
      </c>
      <c r="M6" t="s">
        <v>77</v>
      </c>
      <c r="N6" t="s">
        <v>78</v>
      </c>
      <c r="O6" t="s">
        <v>78</v>
      </c>
      <c r="P6" t="s">
        <v>93</v>
      </c>
      <c r="Q6" t="s">
        <v>80</v>
      </c>
      <c r="V6">
        <v>0</v>
      </c>
      <c r="W6">
        <v>4</v>
      </c>
      <c r="X6">
        <v>4</v>
      </c>
      <c r="Y6">
        <v>12</v>
      </c>
      <c r="Z6">
        <v>30.014280699999698</v>
      </c>
      <c r="AH6">
        <v>30.000712899999598</v>
      </c>
      <c r="AI6">
        <v>30.014280699999698</v>
      </c>
      <c r="AJ6">
        <v>30.014280699999698</v>
      </c>
      <c r="AK6">
        <v>30.014280699999698</v>
      </c>
      <c r="AL6">
        <v>3.8497000000461399E-3</v>
      </c>
      <c r="AM6">
        <v>36.9614323999999</v>
      </c>
      <c r="AN6" t="s">
        <v>92</v>
      </c>
      <c r="AO6" t="s">
        <v>75</v>
      </c>
      <c r="AP6" t="s">
        <v>76</v>
      </c>
      <c r="AQ6" t="s">
        <v>77</v>
      </c>
      <c r="AR6" t="s">
        <v>78</v>
      </c>
      <c r="AS6" t="s">
        <v>78</v>
      </c>
      <c r="AT6" t="s">
        <v>93</v>
      </c>
      <c r="AU6" t="s">
        <v>80</v>
      </c>
      <c r="AV6">
        <v>767670</v>
      </c>
      <c r="AW6">
        <v>1</v>
      </c>
      <c r="AX6" t="s">
        <v>55</v>
      </c>
      <c r="AY6" t="s">
        <v>56</v>
      </c>
      <c r="BA6" t="s">
        <v>57</v>
      </c>
      <c r="BB6">
        <v>59.885403292309498</v>
      </c>
      <c r="BC6" t="s">
        <v>58</v>
      </c>
    </row>
    <row r="7" spans="1:55" x14ac:dyDescent="0.35">
      <c r="B7">
        <v>5</v>
      </c>
      <c r="C7">
        <v>5</v>
      </c>
      <c r="D7">
        <v>0</v>
      </c>
      <c r="G7" t="s">
        <v>94</v>
      </c>
      <c r="H7" t="s">
        <v>67</v>
      </c>
      <c r="I7" t="s">
        <v>73</v>
      </c>
      <c r="J7" t="s">
        <v>95</v>
      </c>
      <c r="K7" t="s">
        <v>75</v>
      </c>
      <c r="L7" t="s">
        <v>76</v>
      </c>
      <c r="M7" t="s">
        <v>77</v>
      </c>
      <c r="N7" t="s">
        <v>78</v>
      </c>
      <c r="O7" t="s">
        <v>78</v>
      </c>
      <c r="P7" t="s">
        <v>96</v>
      </c>
      <c r="Q7" t="s">
        <v>80</v>
      </c>
      <c r="V7">
        <v>0</v>
      </c>
      <c r="W7">
        <v>5</v>
      </c>
      <c r="X7">
        <v>5</v>
      </c>
      <c r="Y7">
        <v>13</v>
      </c>
      <c r="Z7">
        <v>36.978416399999702</v>
      </c>
      <c r="AH7">
        <v>36.9645824999997</v>
      </c>
      <c r="AI7">
        <v>36.978416399999702</v>
      </c>
      <c r="AJ7">
        <v>36.978416399999702</v>
      </c>
      <c r="AK7">
        <v>36.978416399999702</v>
      </c>
      <c r="AL7">
        <v>3.0310000001918498E-3</v>
      </c>
      <c r="AM7">
        <v>38.960974599999602</v>
      </c>
      <c r="AN7" t="s">
        <v>95</v>
      </c>
      <c r="AO7" t="s">
        <v>75</v>
      </c>
      <c r="AP7" t="s">
        <v>76</v>
      </c>
      <c r="AQ7" t="s">
        <v>77</v>
      </c>
      <c r="AR7" t="s">
        <v>78</v>
      </c>
      <c r="AS7" t="s">
        <v>78</v>
      </c>
      <c r="AT7" t="s">
        <v>96</v>
      </c>
      <c r="AU7" t="s">
        <v>80</v>
      </c>
      <c r="AV7">
        <v>767670</v>
      </c>
      <c r="AW7">
        <v>1</v>
      </c>
      <c r="AX7" t="s">
        <v>55</v>
      </c>
      <c r="AY7" t="s">
        <v>56</v>
      </c>
      <c r="BA7" t="s">
        <v>57</v>
      </c>
      <c r="BB7">
        <v>59.885403292309498</v>
      </c>
      <c r="BC7" t="s">
        <v>58</v>
      </c>
    </row>
    <row r="8" spans="1:55" x14ac:dyDescent="0.35">
      <c r="B8">
        <v>6</v>
      </c>
      <c r="C8">
        <v>6</v>
      </c>
      <c r="D8">
        <v>0</v>
      </c>
      <c r="G8" t="s">
        <v>97</v>
      </c>
      <c r="H8" t="s">
        <v>64</v>
      </c>
      <c r="I8" t="s">
        <v>73</v>
      </c>
      <c r="J8" t="s">
        <v>98</v>
      </c>
      <c r="K8" t="s">
        <v>75</v>
      </c>
      <c r="L8" t="s">
        <v>76</v>
      </c>
      <c r="M8" t="s">
        <v>77</v>
      </c>
      <c r="N8" t="s">
        <v>78</v>
      </c>
      <c r="O8" t="s">
        <v>78</v>
      </c>
      <c r="P8" t="s">
        <v>99</v>
      </c>
      <c r="Q8" t="s">
        <v>80</v>
      </c>
      <c r="V8">
        <v>0</v>
      </c>
      <c r="W8">
        <v>6</v>
      </c>
      <c r="X8">
        <v>6</v>
      </c>
      <c r="Y8">
        <v>9</v>
      </c>
      <c r="Z8">
        <v>38.9783195999998</v>
      </c>
      <c r="AH8">
        <v>38.964505099999698</v>
      </c>
      <c r="AI8">
        <v>38.9783195999998</v>
      </c>
      <c r="AJ8">
        <v>38.9783195999998</v>
      </c>
      <c r="AK8">
        <v>38.9783195999998</v>
      </c>
      <c r="AL8">
        <v>3.3380999998371399E-3</v>
      </c>
      <c r="AM8">
        <v>44.030103299999602</v>
      </c>
      <c r="AN8" t="s">
        <v>98</v>
      </c>
      <c r="AO8" t="s">
        <v>75</v>
      </c>
      <c r="AP8" t="s">
        <v>76</v>
      </c>
      <c r="AQ8" t="s">
        <v>77</v>
      </c>
      <c r="AR8" t="s">
        <v>78</v>
      </c>
      <c r="AS8" t="s">
        <v>78</v>
      </c>
      <c r="AT8" t="s">
        <v>99</v>
      </c>
      <c r="AU8" t="s">
        <v>80</v>
      </c>
      <c r="AV8">
        <v>767670</v>
      </c>
      <c r="AW8">
        <v>1</v>
      </c>
      <c r="AX8" t="s">
        <v>55</v>
      </c>
      <c r="AY8" t="s">
        <v>56</v>
      </c>
      <c r="BA8" t="s">
        <v>57</v>
      </c>
      <c r="BB8">
        <v>59.885403292309498</v>
      </c>
      <c r="BC8" t="s">
        <v>58</v>
      </c>
    </row>
    <row r="9" spans="1:55" x14ac:dyDescent="0.35">
      <c r="B9">
        <v>7</v>
      </c>
      <c r="C9">
        <v>7</v>
      </c>
      <c r="D9">
        <v>0</v>
      </c>
      <c r="G9" t="s">
        <v>100</v>
      </c>
      <c r="H9" t="s">
        <v>66</v>
      </c>
      <c r="I9" t="s">
        <v>73</v>
      </c>
      <c r="J9" t="s">
        <v>101</v>
      </c>
      <c r="K9" t="s">
        <v>102</v>
      </c>
      <c r="L9" t="s">
        <v>103</v>
      </c>
      <c r="M9" t="s">
        <v>77</v>
      </c>
      <c r="N9" t="s">
        <v>78</v>
      </c>
      <c r="O9" t="s">
        <v>78</v>
      </c>
      <c r="P9" t="s">
        <v>104</v>
      </c>
      <c r="Q9" t="s">
        <v>80</v>
      </c>
      <c r="V9">
        <v>0</v>
      </c>
      <c r="W9">
        <v>7</v>
      </c>
      <c r="X9">
        <v>7</v>
      </c>
      <c r="Y9">
        <v>7</v>
      </c>
      <c r="Z9">
        <v>44.049333799999602</v>
      </c>
      <c r="AH9">
        <v>44.033932499999899</v>
      </c>
      <c r="AI9">
        <v>44.049333799999602</v>
      </c>
      <c r="AJ9">
        <v>44.049333799999602</v>
      </c>
      <c r="AK9">
        <v>44.049333799999602</v>
      </c>
      <c r="AL9">
        <v>3.6827999997512901E-3</v>
      </c>
      <c r="AM9">
        <v>48.410707399999801</v>
      </c>
      <c r="AN9" t="s">
        <v>101</v>
      </c>
      <c r="AO9" t="s">
        <v>102</v>
      </c>
      <c r="AP9" t="s">
        <v>103</v>
      </c>
      <c r="AQ9" t="s">
        <v>77</v>
      </c>
      <c r="AR9" t="s">
        <v>78</v>
      </c>
      <c r="AS9" t="s">
        <v>78</v>
      </c>
      <c r="AT9" t="s">
        <v>104</v>
      </c>
      <c r="AU9" t="s">
        <v>80</v>
      </c>
      <c r="AV9">
        <v>767670</v>
      </c>
      <c r="AW9">
        <v>1</v>
      </c>
      <c r="AX9" t="s">
        <v>55</v>
      </c>
      <c r="AY9" t="s">
        <v>56</v>
      </c>
      <c r="BA9" t="s">
        <v>57</v>
      </c>
      <c r="BB9">
        <v>59.885403292309498</v>
      </c>
      <c r="BC9" t="s">
        <v>58</v>
      </c>
    </row>
    <row r="10" spans="1:55" x14ac:dyDescent="0.35">
      <c r="B10">
        <v>8</v>
      </c>
      <c r="C10">
        <v>8</v>
      </c>
      <c r="D10">
        <v>0</v>
      </c>
      <c r="G10" t="s">
        <v>105</v>
      </c>
      <c r="H10" t="s">
        <v>106</v>
      </c>
      <c r="I10" t="s">
        <v>107</v>
      </c>
      <c r="J10" t="s">
        <v>108</v>
      </c>
      <c r="K10" t="s">
        <v>102</v>
      </c>
      <c r="L10" t="s">
        <v>103</v>
      </c>
      <c r="M10" t="s">
        <v>77</v>
      </c>
      <c r="N10" t="s">
        <v>78</v>
      </c>
      <c r="O10" t="s">
        <v>78</v>
      </c>
      <c r="P10" t="s">
        <v>109</v>
      </c>
      <c r="Q10" t="s">
        <v>80</v>
      </c>
      <c r="V10">
        <v>0</v>
      </c>
      <c r="W10">
        <v>8</v>
      </c>
      <c r="X10">
        <v>8</v>
      </c>
      <c r="Y10">
        <v>18</v>
      </c>
      <c r="Z10">
        <v>48.427324299999697</v>
      </c>
      <c r="AH10">
        <v>48.414112699999798</v>
      </c>
      <c r="AI10">
        <v>48.427324299999697</v>
      </c>
      <c r="AJ10">
        <v>48.427324299999697</v>
      </c>
      <c r="AK10">
        <v>48.427324299999697</v>
      </c>
      <c r="AL10">
        <v>3.2515000002604202E-3</v>
      </c>
      <c r="AM10">
        <v>51.529442399999802</v>
      </c>
      <c r="AN10" t="s">
        <v>108</v>
      </c>
      <c r="AO10" t="s">
        <v>102</v>
      </c>
      <c r="AP10" t="s">
        <v>103</v>
      </c>
      <c r="AQ10" t="s">
        <v>77</v>
      </c>
      <c r="AR10" t="s">
        <v>78</v>
      </c>
      <c r="AS10" t="s">
        <v>78</v>
      </c>
      <c r="AT10" t="s">
        <v>109</v>
      </c>
      <c r="AU10" t="s">
        <v>80</v>
      </c>
      <c r="AV10">
        <v>767670</v>
      </c>
      <c r="AW10">
        <v>1</v>
      </c>
      <c r="AX10" t="s">
        <v>55</v>
      </c>
      <c r="AY10" t="s">
        <v>56</v>
      </c>
      <c r="BA10" t="s">
        <v>57</v>
      </c>
      <c r="BB10">
        <v>59.885403292309498</v>
      </c>
      <c r="BC10" t="s">
        <v>58</v>
      </c>
    </row>
    <row r="11" spans="1:55" x14ac:dyDescent="0.35">
      <c r="B11">
        <v>9</v>
      </c>
      <c r="C11">
        <v>9</v>
      </c>
      <c r="D11">
        <v>0</v>
      </c>
      <c r="G11" t="s">
        <v>110</v>
      </c>
      <c r="H11" t="s">
        <v>111</v>
      </c>
      <c r="I11" t="s">
        <v>107</v>
      </c>
      <c r="J11" t="s">
        <v>112</v>
      </c>
      <c r="K11" t="s">
        <v>102</v>
      </c>
      <c r="L11" t="s">
        <v>103</v>
      </c>
      <c r="M11" t="s">
        <v>77</v>
      </c>
      <c r="N11" t="s">
        <v>78</v>
      </c>
      <c r="O11" t="s">
        <v>78</v>
      </c>
      <c r="P11" t="s">
        <v>113</v>
      </c>
      <c r="Q11" t="s">
        <v>80</v>
      </c>
      <c r="V11">
        <v>0</v>
      </c>
      <c r="W11">
        <v>9</v>
      </c>
      <c r="X11">
        <v>9</v>
      </c>
      <c r="Y11">
        <v>15</v>
      </c>
      <c r="Z11">
        <v>51.548863499999698</v>
      </c>
      <c r="AH11">
        <v>51.533116399999898</v>
      </c>
      <c r="AI11">
        <v>51.548863499999698</v>
      </c>
      <c r="AJ11">
        <v>51.548863499999698</v>
      </c>
      <c r="AK11">
        <v>51.548863499999698</v>
      </c>
      <c r="AL11">
        <v>3.4481000002415298E-3</v>
      </c>
      <c r="AM11">
        <v>54.779870999999702</v>
      </c>
      <c r="AN11" t="s">
        <v>112</v>
      </c>
      <c r="AO11" t="s">
        <v>102</v>
      </c>
      <c r="AP11" t="s">
        <v>103</v>
      </c>
      <c r="AQ11" t="s">
        <v>77</v>
      </c>
      <c r="AR11" t="s">
        <v>78</v>
      </c>
      <c r="AS11" t="s">
        <v>78</v>
      </c>
      <c r="AT11" t="s">
        <v>113</v>
      </c>
      <c r="AU11" t="s">
        <v>80</v>
      </c>
      <c r="AV11">
        <v>767670</v>
      </c>
      <c r="AW11">
        <v>1</v>
      </c>
      <c r="AX11" t="s">
        <v>55</v>
      </c>
      <c r="AY11" t="s">
        <v>56</v>
      </c>
      <c r="BA11" t="s">
        <v>57</v>
      </c>
      <c r="BB11">
        <v>59.885403292309498</v>
      </c>
      <c r="BC11" t="s">
        <v>58</v>
      </c>
    </row>
    <row r="12" spans="1:55" x14ac:dyDescent="0.35">
      <c r="B12">
        <v>10</v>
      </c>
      <c r="C12">
        <v>10</v>
      </c>
      <c r="D12">
        <v>0</v>
      </c>
      <c r="G12" t="s">
        <v>114</v>
      </c>
      <c r="H12" t="s">
        <v>65</v>
      </c>
      <c r="I12" t="s">
        <v>73</v>
      </c>
      <c r="J12" t="s">
        <v>115</v>
      </c>
      <c r="K12" t="s">
        <v>102</v>
      </c>
      <c r="L12" t="s">
        <v>103</v>
      </c>
      <c r="M12" t="s">
        <v>77</v>
      </c>
      <c r="N12" t="s">
        <v>78</v>
      </c>
      <c r="O12" t="s">
        <v>78</v>
      </c>
      <c r="P12" t="s">
        <v>116</v>
      </c>
      <c r="Q12" t="s">
        <v>80</v>
      </c>
      <c r="V12">
        <v>0</v>
      </c>
      <c r="W12">
        <v>10</v>
      </c>
      <c r="X12">
        <v>10</v>
      </c>
      <c r="Y12">
        <v>14</v>
      </c>
      <c r="Z12">
        <v>54.7997550999998</v>
      </c>
      <c r="AH12">
        <v>54.783659199999803</v>
      </c>
      <c r="AI12">
        <v>54.7997550999998</v>
      </c>
      <c r="AJ12">
        <v>54.7997550999998</v>
      </c>
      <c r="AK12">
        <v>54.7997550999998</v>
      </c>
      <c r="AL12">
        <v>3.6464000004343602E-3</v>
      </c>
      <c r="AM12">
        <v>58.697033899999902</v>
      </c>
      <c r="AN12" t="s">
        <v>115</v>
      </c>
      <c r="AO12" t="s">
        <v>102</v>
      </c>
      <c r="AP12" t="s">
        <v>103</v>
      </c>
      <c r="AQ12" t="s">
        <v>77</v>
      </c>
      <c r="AR12" t="s">
        <v>78</v>
      </c>
      <c r="AS12" t="s">
        <v>78</v>
      </c>
      <c r="AT12" t="s">
        <v>116</v>
      </c>
      <c r="AU12" t="s">
        <v>80</v>
      </c>
      <c r="AV12">
        <v>767670</v>
      </c>
      <c r="AW12">
        <v>1</v>
      </c>
      <c r="AX12" t="s">
        <v>55</v>
      </c>
      <c r="AY12" t="s">
        <v>56</v>
      </c>
      <c r="BA12" t="s">
        <v>57</v>
      </c>
      <c r="BB12">
        <v>59.885403292309498</v>
      </c>
      <c r="BC12" t="s">
        <v>58</v>
      </c>
    </row>
    <row r="13" spans="1:55" x14ac:dyDescent="0.35">
      <c r="B13">
        <v>11</v>
      </c>
      <c r="C13">
        <v>11</v>
      </c>
      <c r="D13">
        <v>0</v>
      </c>
      <c r="G13" t="s">
        <v>117</v>
      </c>
      <c r="H13" t="s">
        <v>68</v>
      </c>
      <c r="I13" t="s">
        <v>73</v>
      </c>
      <c r="J13" t="s">
        <v>118</v>
      </c>
      <c r="K13" t="s">
        <v>102</v>
      </c>
      <c r="L13" t="s">
        <v>103</v>
      </c>
      <c r="M13" t="s">
        <v>77</v>
      </c>
      <c r="N13" t="s">
        <v>78</v>
      </c>
      <c r="O13" t="s">
        <v>78</v>
      </c>
      <c r="P13" t="s">
        <v>119</v>
      </c>
      <c r="Q13" t="s">
        <v>80</v>
      </c>
      <c r="V13">
        <v>0</v>
      </c>
      <c r="W13">
        <v>11</v>
      </c>
      <c r="X13">
        <v>11</v>
      </c>
      <c r="Y13">
        <v>0</v>
      </c>
      <c r="Z13">
        <v>58.717670199999702</v>
      </c>
      <c r="AH13">
        <v>58.700885999999599</v>
      </c>
      <c r="AI13">
        <v>58.717670199999702</v>
      </c>
      <c r="AJ13">
        <v>58.717670199999702</v>
      </c>
      <c r="AK13">
        <v>58.717670199999702</v>
      </c>
      <c r="AL13">
        <v>3.6659000002146002E-3</v>
      </c>
      <c r="AM13">
        <v>62.461457599999903</v>
      </c>
      <c r="AN13" t="s">
        <v>118</v>
      </c>
      <c r="AO13" t="s">
        <v>102</v>
      </c>
      <c r="AP13" t="s">
        <v>103</v>
      </c>
      <c r="AQ13" t="s">
        <v>77</v>
      </c>
      <c r="AR13" t="s">
        <v>78</v>
      </c>
      <c r="AS13" t="s">
        <v>78</v>
      </c>
      <c r="AT13" t="s">
        <v>119</v>
      </c>
      <c r="AU13" t="s">
        <v>80</v>
      </c>
      <c r="AV13">
        <v>767670</v>
      </c>
      <c r="AW13">
        <v>1</v>
      </c>
      <c r="AX13" t="s">
        <v>55</v>
      </c>
      <c r="AY13" t="s">
        <v>56</v>
      </c>
      <c r="BA13" t="s">
        <v>57</v>
      </c>
      <c r="BB13">
        <v>59.885403292309498</v>
      </c>
      <c r="BC13" t="s">
        <v>58</v>
      </c>
    </row>
    <row r="14" spans="1:55" x14ac:dyDescent="0.35">
      <c r="B14">
        <v>12</v>
      </c>
      <c r="C14">
        <v>12</v>
      </c>
      <c r="D14">
        <v>0</v>
      </c>
      <c r="G14" t="s">
        <v>120</v>
      </c>
      <c r="H14" t="s">
        <v>121</v>
      </c>
      <c r="I14" t="s">
        <v>107</v>
      </c>
      <c r="J14" t="s">
        <v>122</v>
      </c>
      <c r="K14" t="s">
        <v>102</v>
      </c>
      <c r="L14" t="s">
        <v>103</v>
      </c>
      <c r="M14" t="s">
        <v>77</v>
      </c>
      <c r="N14" t="s">
        <v>78</v>
      </c>
      <c r="O14" t="s">
        <v>78</v>
      </c>
      <c r="P14" t="s">
        <v>123</v>
      </c>
      <c r="Q14" t="s">
        <v>80</v>
      </c>
      <c r="V14">
        <v>0</v>
      </c>
      <c r="W14">
        <v>12</v>
      </c>
      <c r="X14">
        <v>12</v>
      </c>
      <c r="Y14">
        <v>19</v>
      </c>
      <c r="Z14">
        <v>62.478890799999498</v>
      </c>
      <c r="AH14">
        <v>62.464728099999697</v>
      </c>
      <c r="AI14">
        <v>62.478890799999498</v>
      </c>
      <c r="AJ14">
        <v>62.478890799999498</v>
      </c>
      <c r="AK14">
        <v>62.478890799999498</v>
      </c>
      <c r="AL14">
        <v>3.23159999970812E-3</v>
      </c>
      <c r="AM14">
        <v>65.211426699999706</v>
      </c>
      <c r="AN14" t="s">
        <v>122</v>
      </c>
      <c r="AO14" t="s">
        <v>102</v>
      </c>
      <c r="AP14" t="s">
        <v>103</v>
      </c>
      <c r="AQ14" t="s">
        <v>77</v>
      </c>
      <c r="AR14" t="s">
        <v>78</v>
      </c>
      <c r="AS14" t="s">
        <v>78</v>
      </c>
      <c r="AT14" t="s">
        <v>123</v>
      </c>
      <c r="AU14" t="s">
        <v>80</v>
      </c>
      <c r="AV14">
        <v>767670</v>
      </c>
      <c r="AW14">
        <v>1</v>
      </c>
      <c r="AX14" t="s">
        <v>55</v>
      </c>
      <c r="AY14" t="s">
        <v>56</v>
      </c>
      <c r="BA14" t="s">
        <v>57</v>
      </c>
      <c r="BB14">
        <v>59.885403292309498</v>
      </c>
      <c r="BC14" t="s">
        <v>58</v>
      </c>
    </row>
    <row r="15" spans="1:55" x14ac:dyDescent="0.35">
      <c r="B15">
        <v>13</v>
      </c>
      <c r="C15">
        <v>13</v>
      </c>
      <c r="D15">
        <v>0</v>
      </c>
      <c r="G15" t="s">
        <v>124</v>
      </c>
      <c r="H15" t="s">
        <v>62</v>
      </c>
      <c r="I15" t="s">
        <v>73</v>
      </c>
      <c r="K15" t="s">
        <v>125</v>
      </c>
      <c r="L15" t="s">
        <v>125</v>
      </c>
      <c r="M15" t="s">
        <v>125</v>
      </c>
      <c r="N15" t="s">
        <v>125</v>
      </c>
      <c r="O15" t="s">
        <v>125</v>
      </c>
      <c r="P15" t="s">
        <v>125</v>
      </c>
      <c r="Q15" t="s">
        <v>125</v>
      </c>
      <c r="V15">
        <v>0</v>
      </c>
      <c r="W15">
        <v>13</v>
      </c>
      <c r="X15">
        <v>13</v>
      </c>
      <c r="Y15">
        <v>6</v>
      </c>
      <c r="Z15">
        <v>65.229453999999805</v>
      </c>
      <c r="AH15">
        <v>65.214979999999699</v>
      </c>
      <c r="AI15">
        <v>65.229453999999805</v>
      </c>
      <c r="AJ15">
        <v>65.229453999999805</v>
      </c>
      <c r="AK15">
        <v>65.229453999999805</v>
      </c>
      <c r="AL15">
        <v>3.4073000001626401E-3</v>
      </c>
      <c r="AM15">
        <v>75.227756499999899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>
        <v>767670</v>
      </c>
      <c r="AW15">
        <v>1</v>
      </c>
      <c r="AX15" t="s">
        <v>55</v>
      </c>
      <c r="AY15" t="s">
        <v>56</v>
      </c>
      <c r="BA15" t="s">
        <v>57</v>
      </c>
      <c r="BB15">
        <v>59.885403292309498</v>
      </c>
      <c r="BC15" t="s">
        <v>58</v>
      </c>
    </row>
    <row r="16" spans="1:55" x14ac:dyDescent="0.35">
      <c r="B16">
        <v>14</v>
      </c>
      <c r="C16">
        <v>14</v>
      </c>
      <c r="D16">
        <v>0</v>
      </c>
      <c r="G16" t="s">
        <v>126</v>
      </c>
      <c r="H16" t="s">
        <v>71</v>
      </c>
      <c r="I16" t="s">
        <v>73</v>
      </c>
      <c r="J16" t="s">
        <v>127</v>
      </c>
      <c r="K16" t="s">
        <v>128</v>
      </c>
      <c r="L16" t="s">
        <v>129</v>
      </c>
      <c r="M16" t="s">
        <v>130</v>
      </c>
      <c r="N16" t="s">
        <v>131</v>
      </c>
      <c r="O16" t="s">
        <v>131</v>
      </c>
      <c r="P16" t="s">
        <v>132</v>
      </c>
      <c r="Q16" t="s">
        <v>133</v>
      </c>
      <c r="V16">
        <v>0</v>
      </c>
      <c r="W16">
        <v>14</v>
      </c>
      <c r="X16">
        <v>14</v>
      </c>
      <c r="Y16">
        <v>8</v>
      </c>
      <c r="Z16">
        <v>75.245145899999898</v>
      </c>
      <c r="AH16">
        <v>75.231244299999602</v>
      </c>
      <c r="AI16">
        <v>75.245145899999898</v>
      </c>
      <c r="AJ16">
        <v>75.245145899999898</v>
      </c>
      <c r="AK16">
        <v>75.245145899999898</v>
      </c>
      <c r="AL16">
        <v>1.9667800000206601E-2</v>
      </c>
      <c r="AM16">
        <v>84.064127699999901</v>
      </c>
      <c r="AN16" t="s">
        <v>127</v>
      </c>
      <c r="AO16" t="s">
        <v>128</v>
      </c>
      <c r="AP16" t="s">
        <v>129</v>
      </c>
      <c r="AQ16" t="s">
        <v>130</v>
      </c>
      <c r="AR16" t="s">
        <v>131</v>
      </c>
      <c r="AS16" t="s">
        <v>131</v>
      </c>
      <c r="AT16" t="s">
        <v>132</v>
      </c>
      <c r="AU16" t="s">
        <v>133</v>
      </c>
      <c r="AV16">
        <v>767670</v>
      </c>
      <c r="AW16">
        <v>1</v>
      </c>
      <c r="AX16" t="s">
        <v>55</v>
      </c>
      <c r="AY16" t="s">
        <v>56</v>
      </c>
      <c r="BA16" t="s">
        <v>57</v>
      </c>
      <c r="BB16">
        <v>59.885403292309498</v>
      </c>
      <c r="BC16" t="s">
        <v>58</v>
      </c>
    </row>
    <row r="17" spans="2:55" x14ac:dyDescent="0.35">
      <c r="B17">
        <v>15</v>
      </c>
      <c r="C17">
        <v>15</v>
      </c>
      <c r="D17">
        <v>0</v>
      </c>
      <c r="G17" t="s">
        <v>134</v>
      </c>
      <c r="H17" t="s">
        <v>60</v>
      </c>
      <c r="I17" t="s">
        <v>73</v>
      </c>
      <c r="J17" t="s">
        <v>135</v>
      </c>
      <c r="K17" t="s">
        <v>136</v>
      </c>
      <c r="L17" t="s">
        <v>137</v>
      </c>
      <c r="M17" t="s">
        <v>77</v>
      </c>
      <c r="N17" t="s">
        <v>78</v>
      </c>
      <c r="O17" t="s">
        <v>78</v>
      </c>
      <c r="P17" t="s">
        <v>138</v>
      </c>
      <c r="Q17" t="s">
        <v>80</v>
      </c>
      <c r="V17">
        <v>0</v>
      </c>
      <c r="W17">
        <v>15</v>
      </c>
      <c r="X17">
        <v>15</v>
      </c>
      <c r="Y17">
        <v>11</v>
      </c>
      <c r="Z17">
        <v>84.083236599999907</v>
      </c>
      <c r="AH17">
        <v>84.067939399999801</v>
      </c>
      <c r="AI17">
        <v>84.083236599999907</v>
      </c>
      <c r="AJ17">
        <v>84.083236599999907</v>
      </c>
      <c r="AK17">
        <v>84.083236599999907</v>
      </c>
      <c r="AL17">
        <v>3.5954999998466502E-3</v>
      </c>
      <c r="AM17">
        <v>89.564156799999594</v>
      </c>
      <c r="AN17" t="s">
        <v>135</v>
      </c>
      <c r="AO17" t="s">
        <v>136</v>
      </c>
      <c r="AP17" t="s">
        <v>137</v>
      </c>
      <c r="AQ17" t="s">
        <v>77</v>
      </c>
      <c r="AR17" t="s">
        <v>78</v>
      </c>
      <c r="AS17" t="s">
        <v>78</v>
      </c>
      <c r="AT17" t="s">
        <v>138</v>
      </c>
      <c r="AU17" t="s">
        <v>80</v>
      </c>
      <c r="AV17">
        <v>767670</v>
      </c>
      <c r="AW17">
        <v>1</v>
      </c>
      <c r="AX17" t="s">
        <v>55</v>
      </c>
      <c r="AY17" t="s">
        <v>56</v>
      </c>
      <c r="BA17" t="s">
        <v>57</v>
      </c>
      <c r="BB17">
        <v>59.885403292309498</v>
      </c>
      <c r="BC17" t="s">
        <v>58</v>
      </c>
    </row>
    <row r="18" spans="2:55" x14ac:dyDescent="0.35">
      <c r="B18">
        <v>16</v>
      </c>
      <c r="C18">
        <v>16</v>
      </c>
      <c r="D18">
        <v>0</v>
      </c>
      <c r="G18" t="s">
        <v>139</v>
      </c>
      <c r="H18" t="s">
        <v>59</v>
      </c>
      <c r="I18" t="s">
        <v>73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125</v>
      </c>
      <c r="Q18" t="s">
        <v>125</v>
      </c>
      <c r="V18">
        <v>0</v>
      </c>
      <c r="W18">
        <v>16</v>
      </c>
      <c r="X18">
        <v>16</v>
      </c>
      <c r="Y18">
        <v>3</v>
      </c>
      <c r="Z18">
        <v>89.584951699999607</v>
      </c>
      <c r="AH18">
        <v>89.568534599999495</v>
      </c>
      <c r="AI18">
        <v>89.584951699999607</v>
      </c>
      <c r="AJ18">
        <v>89.584951699999607</v>
      </c>
      <c r="AK18">
        <v>89.584951699999607</v>
      </c>
      <c r="AL18">
        <v>4.0644999999130899E-3</v>
      </c>
      <c r="AM18">
        <v>99.577010099999796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>
        <v>767670</v>
      </c>
      <c r="AW18">
        <v>1</v>
      </c>
      <c r="AX18" t="s">
        <v>55</v>
      </c>
      <c r="AY18" t="s">
        <v>56</v>
      </c>
      <c r="BA18" t="s">
        <v>57</v>
      </c>
      <c r="BB18">
        <v>59.885403292309498</v>
      </c>
      <c r="BC18" t="s">
        <v>58</v>
      </c>
    </row>
    <row r="19" spans="2:55" x14ac:dyDescent="0.35">
      <c r="B19">
        <v>17</v>
      </c>
      <c r="C19">
        <v>17</v>
      </c>
      <c r="D19">
        <v>0</v>
      </c>
      <c r="G19" t="s">
        <v>140</v>
      </c>
      <c r="H19" t="s">
        <v>141</v>
      </c>
      <c r="I19" t="s">
        <v>107</v>
      </c>
      <c r="K19" t="s">
        <v>125</v>
      </c>
      <c r="L19" t="s">
        <v>125</v>
      </c>
      <c r="M19" t="s">
        <v>125</v>
      </c>
      <c r="N19" t="s">
        <v>125</v>
      </c>
      <c r="O19" t="s">
        <v>125</v>
      </c>
      <c r="P19" t="s">
        <v>125</v>
      </c>
      <c r="Q19" t="s">
        <v>125</v>
      </c>
      <c r="V19">
        <v>0</v>
      </c>
      <c r="W19">
        <v>17</v>
      </c>
      <c r="X19">
        <v>17</v>
      </c>
      <c r="Y19">
        <v>17</v>
      </c>
      <c r="Z19">
        <v>99.596160199999701</v>
      </c>
      <c r="AH19">
        <v>99.582925199999806</v>
      </c>
      <c r="AI19">
        <v>99.596160199999701</v>
      </c>
      <c r="AJ19">
        <v>99.596160199999701</v>
      </c>
      <c r="AK19">
        <v>99.596160199999701</v>
      </c>
      <c r="AL19">
        <v>1.84521000001041E-2</v>
      </c>
      <c r="AM19">
        <v>109.57767639999901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>
        <v>767670</v>
      </c>
      <c r="AW19">
        <v>1</v>
      </c>
      <c r="AX19" t="s">
        <v>55</v>
      </c>
      <c r="AY19" t="s">
        <v>56</v>
      </c>
      <c r="BA19" t="s">
        <v>57</v>
      </c>
      <c r="BB19">
        <v>59.885403292309498</v>
      </c>
      <c r="BC19" t="s">
        <v>58</v>
      </c>
    </row>
    <row r="20" spans="2:55" x14ac:dyDescent="0.35">
      <c r="B20">
        <v>18</v>
      </c>
      <c r="C20">
        <v>18</v>
      </c>
      <c r="D20">
        <v>0</v>
      </c>
      <c r="G20" t="s">
        <v>142</v>
      </c>
      <c r="H20" t="s">
        <v>143</v>
      </c>
      <c r="I20" t="s">
        <v>73</v>
      </c>
      <c r="J20" t="s">
        <v>144</v>
      </c>
      <c r="K20" t="s">
        <v>145</v>
      </c>
      <c r="L20" t="s">
        <v>146</v>
      </c>
      <c r="M20" t="s">
        <v>77</v>
      </c>
      <c r="N20" t="s">
        <v>78</v>
      </c>
      <c r="O20" t="s">
        <v>78</v>
      </c>
      <c r="P20" t="s">
        <v>147</v>
      </c>
      <c r="Q20" t="s">
        <v>80</v>
      </c>
      <c r="V20">
        <v>0</v>
      </c>
      <c r="W20">
        <v>18</v>
      </c>
      <c r="X20">
        <v>18</v>
      </c>
      <c r="Y20">
        <v>1</v>
      </c>
      <c r="Z20">
        <v>109.594442399999</v>
      </c>
      <c r="AH20">
        <v>109.58131069999899</v>
      </c>
      <c r="AI20">
        <v>109.594442399999</v>
      </c>
      <c r="AJ20">
        <v>109.594442399999</v>
      </c>
      <c r="AK20">
        <v>109.594442399999</v>
      </c>
      <c r="AL20">
        <v>1.6837000000123201E-2</v>
      </c>
      <c r="AM20">
        <v>116.8795258</v>
      </c>
      <c r="AN20" t="s">
        <v>144</v>
      </c>
      <c r="AO20" t="s">
        <v>145</v>
      </c>
      <c r="AP20" t="s">
        <v>146</v>
      </c>
      <c r="AQ20" t="s">
        <v>77</v>
      </c>
      <c r="AR20" t="s">
        <v>78</v>
      </c>
      <c r="AS20" t="s">
        <v>78</v>
      </c>
      <c r="AT20" t="s">
        <v>147</v>
      </c>
      <c r="AU20" t="s">
        <v>80</v>
      </c>
      <c r="AV20">
        <v>767670</v>
      </c>
      <c r="AW20">
        <v>1</v>
      </c>
      <c r="AX20" t="s">
        <v>55</v>
      </c>
      <c r="AY20" t="s">
        <v>56</v>
      </c>
      <c r="BA20" t="s">
        <v>57</v>
      </c>
      <c r="BB20">
        <v>59.885403292309498</v>
      </c>
      <c r="BC20" t="s">
        <v>58</v>
      </c>
    </row>
    <row r="21" spans="2:55" x14ac:dyDescent="0.35">
      <c r="B21">
        <v>19</v>
      </c>
      <c r="C21">
        <v>19</v>
      </c>
      <c r="D21">
        <v>0</v>
      </c>
      <c r="G21" t="s">
        <v>148</v>
      </c>
      <c r="H21" t="s">
        <v>149</v>
      </c>
      <c r="I21" t="s">
        <v>107</v>
      </c>
      <c r="J21" t="s">
        <v>150</v>
      </c>
      <c r="K21" t="s">
        <v>145</v>
      </c>
      <c r="L21" t="s">
        <v>146</v>
      </c>
      <c r="M21" t="s">
        <v>77</v>
      </c>
      <c r="N21" t="s">
        <v>78</v>
      </c>
      <c r="O21" t="s">
        <v>78</v>
      </c>
      <c r="P21" t="s">
        <v>151</v>
      </c>
      <c r="Q21" t="s">
        <v>80</v>
      </c>
      <c r="V21">
        <v>0</v>
      </c>
      <c r="W21">
        <v>19</v>
      </c>
      <c r="X21">
        <v>19</v>
      </c>
      <c r="Y21">
        <v>16</v>
      </c>
      <c r="Z21">
        <v>116.897060699999</v>
      </c>
      <c r="AH21">
        <v>116.882909799999</v>
      </c>
      <c r="AI21">
        <v>116.897060699999</v>
      </c>
      <c r="AJ21">
        <v>116.897060699999</v>
      </c>
      <c r="AK21">
        <v>116.897060699999</v>
      </c>
      <c r="AL21">
        <v>3.2092999999804302E-3</v>
      </c>
      <c r="AM21">
        <v>121.578702599999</v>
      </c>
      <c r="AN21" t="s">
        <v>150</v>
      </c>
      <c r="AO21" t="s">
        <v>145</v>
      </c>
      <c r="AP21" t="s">
        <v>146</v>
      </c>
      <c r="AQ21" t="s">
        <v>77</v>
      </c>
      <c r="AR21" t="s">
        <v>78</v>
      </c>
      <c r="AS21" t="s">
        <v>78</v>
      </c>
      <c r="AT21" t="s">
        <v>151</v>
      </c>
      <c r="AU21" t="s">
        <v>80</v>
      </c>
      <c r="AV21">
        <v>767670</v>
      </c>
      <c r="AW21">
        <v>1</v>
      </c>
      <c r="AX21" t="s">
        <v>55</v>
      </c>
      <c r="AY21" t="s">
        <v>56</v>
      </c>
      <c r="BA21" t="s">
        <v>57</v>
      </c>
      <c r="BB21">
        <v>59.885403292309498</v>
      </c>
      <c r="BC21" t="s">
        <v>58</v>
      </c>
    </row>
    <row r="24" spans="2:55" x14ac:dyDescent="0.35">
      <c r="C24" t="s">
        <v>152</v>
      </c>
      <c r="D24">
        <v>20</v>
      </c>
    </row>
    <row r="25" spans="2:55" x14ac:dyDescent="0.35">
      <c r="C25" t="s">
        <v>153</v>
      </c>
      <c r="D25">
        <v>15</v>
      </c>
    </row>
    <row r="26" spans="2:55" x14ac:dyDescent="0.35">
      <c r="C26" t="s">
        <v>154</v>
      </c>
      <c r="D26">
        <v>5</v>
      </c>
    </row>
    <row r="28" spans="2:55" x14ac:dyDescent="0.35">
      <c r="C28" t="s">
        <v>155</v>
      </c>
      <c r="E28" t="s">
        <v>159</v>
      </c>
    </row>
    <row r="29" spans="2:55" x14ac:dyDescent="0.35">
      <c r="C29" t="s">
        <v>156</v>
      </c>
      <c r="D29">
        <v>7</v>
      </c>
      <c r="E29">
        <f>D29/D25</f>
        <v>0.46666666666666667</v>
      </c>
    </row>
    <row r="30" spans="2:55" x14ac:dyDescent="0.35">
      <c r="C30" t="s">
        <v>157</v>
      </c>
      <c r="D30">
        <v>4</v>
      </c>
      <c r="E30">
        <f>D30/D26</f>
        <v>0.8</v>
      </c>
    </row>
    <row r="31" spans="2:55" x14ac:dyDescent="0.35">
      <c r="C31" t="s">
        <v>158</v>
      </c>
      <c r="D31">
        <f>D29-D30</f>
        <v>3</v>
      </c>
      <c r="E31" s="1">
        <f>E29-E30</f>
        <v>-0.33333333333333337</v>
      </c>
    </row>
  </sheetData>
  <autoFilter ref="H1:J36" xr:uid="{A12ADD97-3996-4D2F-8826-E39B9250C0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767670_word priming_2025-10-13_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rahul pandya</cp:lastModifiedBy>
  <dcterms:created xsi:type="dcterms:W3CDTF">2025-10-13T15:27:11Z</dcterms:created>
  <dcterms:modified xsi:type="dcterms:W3CDTF">2025-10-14T15:16:28Z</dcterms:modified>
</cp:coreProperties>
</file>