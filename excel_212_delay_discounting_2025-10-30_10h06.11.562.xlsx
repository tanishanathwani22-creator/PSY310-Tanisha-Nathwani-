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delay discounting\data\"/>
    </mc:Choice>
  </mc:AlternateContent>
  <xr:revisionPtr revIDLastSave="0" documentId="13_ncr:1_{CA130C93-16E9-4AB0-8DF1-8B6D432076A5}" xr6:coauthVersionLast="47" xr6:coauthVersionMax="47" xr10:uidLastSave="{00000000-0000-0000-0000-000000000000}"/>
  <bookViews>
    <workbookView xWindow="-110" yWindow="-110" windowWidth="19420" windowHeight="10300" xr2:uid="{2346A8F1-59FD-45F6-BC35-560676EC3BEA}"/>
  </bookViews>
  <sheets>
    <sheet name="212_delay_discounting_2025-10-3" sheetId="1" r:id="rId1"/>
  </sheets>
  <calcPr calcId="191029"/>
</workbook>
</file>

<file path=xl/calcChain.xml><?xml version="1.0" encoding="utf-8"?>
<calcChain xmlns="http://schemas.openxmlformats.org/spreadsheetml/2006/main">
  <c r="K8" i="1" l="1"/>
  <c r="F97" i="1"/>
  <c r="F93" i="1"/>
  <c r="F90" i="1"/>
  <c r="F87" i="1"/>
  <c r="F80" i="1"/>
  <c r="F74" i="1"/>
  <c r="F72" i="1"/>
  <c r="F70" i="1"/>
  <c r="F65" i="1"/>
  <c r="F62" i="1"/>
  <c r="F60" i="1"/>
  <c r="F57" i="1"/>
  <c r="F54" i="1"/>
  <c r="F49" i="1"/>
  <c r="F43" i="1"/>
  <c r="F38" i="1"/>
  <c r="F36" i="1"/>
  <c r="F32" i="1"/>
  <c r="F29" i="1"/>
  <c r="F25" i="1"/>
  <c r="F23" i="1"/>
  <c r="F21" i="1"/>
  <c r="F18" i="1"/>
  <c r="F14" i="1"/>
  <c r="F11" i="1"/>
  <c r="F8" i="1"/>
  <c r="F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<sst xmlns="http://schemas.openxmlformats.org/spreadsheetml/2006/main" count="109" uniqueCount="10">
  <si>
    <t>reward_today</t>
  </si>
  <si>
    <t>future_reward</t>
  </si>
  <si>
    <t>delay</t>
  </si>
  <si>
    <t>key_resp.keys</t>
  </si>
  <si>
    <t>l</t>
  </si>
  <si>
    <t>t</t>
  </si>
  <si>
    <t>k value</t>
  </si>
  <si>
    <t xml:space="preserve">geomean </t>
  </si>
  <si>
    <t>(FR/RT)-1/DELAY)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</si>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</sst>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6E3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FDD4-E148-40CC-BC9A-48C637FDBD13}">
  <dimension ref="A1:N101"/>
  <sheetViews>
    <sheetView tabSelected="1" workbookViewId="0">
      <selection activeCell="J13" sqref="J13"/>
    </sheetView>
  </sheetViews>
  <sheetFormatPr defaultRowHeight="14.5" x14ac:dyDescent="0.35"/>
  <cols>
    <col min="4" max="4" width="14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</row>
    <row r="2" spans="1:14" x14ac:dyDescent="0.35">
      <c r="A2">
        <v>75</v>
      </c>
      <c r="B2">
        <v>92</v>
      </c>
      <c r="C2">
        <v>3</v>
      </c>
      <c r="D2" t="s">
        <v>4</v>
      </c>
      <c r="E2">
        <f>((B2/A2)-1/C2)</f>
        <v>0.89333333333333331</v>
      </c>
    </row>
    <row r="3" spans="1:14" x14ac:dyDescent="0.35">
      <c r="A3">
        <v>69</v>
      </c>
      <c r="B3">
        <v>112</v>
      </c>
      <c r="C3">
        <v>150</v>
      </c>
      <c r="D3" t="s">
        <v>4</v>
      </c>
      <c r="E3">
        <f t="shared" ref="E3:E66" si="0">((B3/A3)-1/C3)</f>
        <v>1.616521739130435</v>
      </c>
    </row>
    <row r="4" spans="1:14" x14ac:dyDescent="0.35">
      <c r="A4">
        <v>29</v>
      </c>
      <c r="B4">
        <v>37</v>
      </c>
      <c r="C4">
        <v>10</v>
      </c>
      <c r="D4" t="s">
        <v>4</v>
      </c>
      <c r="E4">
        <f t="shared" si="0"/>
        <v>1.1758620689655173</v>
      </c>
      <c r="M4" t="s">
        <v>6</v>
      </c>
      <c r="N4" t="s">
        <v>8</v>
      </c>
    </row>
    <row r="5" spans="1:14" x14ac:dyDescent="0.35">
      <c r="A5">
        <v>55</v>
      </c>
      <c r="B5">
        <v>69</v>
      </c>
      <c r="C5">
        <v>14</v>
      </c>
      <c r="D5" s="2" t="s">
        <v>5</v>
      </c>
      <c r="E5">
        <f t="shared" si="0"/>
        <v>1.1831168831168832</v>
      </c>
      <c r="F5">
        <f>GEOMEAN(E5,E6)</f>
        <v>1.3762374971127431</v>
      </c>
    </row>
    <row r="6" spans="1:14" x14ac:dyDescent="0.35">
      <c r="A6">
        <v>49</v>
      </c>
      <c r="B6">
        <v>79</v>
      </c>
      <c r="C6">
        <v>88</v>
      </c>
      <c r="D6" s="2" t="s">
        <v>4</v>
      </c>
      <c r="E6">
        <f t="shared" si="0"/>
        <v>1.6008812615955472</v>
      </c>
    </row>
    <row r="7" spans="1:14" x14ac:dyDescent="0.35">
      <c r="A7">
        <v>20</v>
      </c>
      <c r="B7">
        <v>50</v>
      </c>
      <c r="C7">
        <v>14</v>
      </c>
      <c r="D7" t="s">
        <v>4</v>
      </c>
      <c r="E7">
        <f t="shared" si="0"/>
        <v>2.4285714285714284</v>
      </c>
    </row>
    <row r="8" spans="1:14" x14ac:dyDescent="0.35">
      <c r="A8">
        <v>46</v>
      </c>
      <c r="B8">
        <v>63</v>
      </c>
      <c r="C8">
        <v>60</v>
      </c>
      <c r="D8" s="2" t="s">
        <v>5</v>
      </c>
      <c r="E8">
        <f t="shared" si="0"/>
        <v>1.3528985507246378</v>
      </c>
      <c r="F8">
        <f>GEOMEAN(E8,E9)</f>
        <v>2.7831931773836849</v>
      </c>
      <c r="J8" t="s">
        <v>9</v>
      </c>
      <c r="K8" s="4">
        <f>AVERAGE(F2:F101)</f>
        <v>1.7483683573240907</v>
      </c>
    </row>
    <row r="9" spans="1:14" x14ac:dyDescent="0.35">
      <c r="A9">
        <v>19</v>
      </c>
      <c r="B9">
        <v>109</v>
      </c>
      <c r="C9">
        <v>89</v>
      </c>
      <c r="D9" s="2" t="s">
        <v>4</v>
      </c>
      <c r="E9">
        <f t="shared" si="0"/>
        <v>5.7256061502069775</v>
      </c>
    </row>
    <row r="10" spans="1:14" x14ac:dyDescent="0.35">
      <c r="A10">
        <v>70</v>
      </c>
      <c r="B10">
        <v>105</v>
      </c>
      <c r="C10">
        <v>117</v>
      </c>
      <c r="D10" t="s">
        <v>4</v>
      </c>
      <c r="E10">
        <f t="shared" si="0"/>
        <v>1.4914529914529915</v>
      </c>
    </row>
    <row r="11" spans="1:14" x14ac:dyDescent="0.35">
      <c r="A11">
        <v>39</v>
      </c>
      <c r="B11">
        <v>46</v>
      </c>
      <c r="C11">
        <v>52</v>
      </c>
      <c r="D11" s="2" t="s">
        <v>5</v>
      </c>
      <c r="E11">
        <f t="shared" si="0"/>
        <v>1.1602564102564104</v>
      </c>
      <c r="F11">
        <f>GEOMEAN(E11,E12)</f>
        <v>1.1282371156912616</v>
      </c>
    </row>
    <row r="12" spans="1:14" x14ac:dyDescent="0.35">
      <c r="A12">
        <v>46</v>
      </c>
      <c r="B12">
        <v>52</v>
      </c>
      <c r="C12">
        <v>30</v>
      </c>
      <c r="D12" s="2" t="s">
        <v>4</v>
      </c>
      <c r="E12">
        <f t="shared" si="0"/>
        <v>1.0971014492753621</v>
      </c>
    </row>
    <row r="13" spans="1:14" x14ac:dyDescent="0.35">
      <c r="A13">
        <v>69</v>
      </c>
      <c r="B13">
        <v>94</v>
      </c>
      <c r="C13">
        <v>143</v>
      </c>
      <c r="D13" t="s">
        <v>4</v>
      </c>
      <c r="E13">
        <f t="shared" si="0"/>
        <v>1.3553258335867031</v>
      </c>
    </row>
    <row r="14" spans="1:14" x14ac:dyDescent="0.35">
      <c r="A14">
        <v>33</v>
      </c>
      <c r="B14">
        <v>56</v>
      </c>
      <c r="C14">
        <v>65</v>
      </c>
      <c r="D14" s="2" t="s">
        <v>5</v>
      </c>
      <c r="E14">
        <f t="shared" si="0"/>
        <v>1.6815850815850817</v>
      </c>
      <c r="F14">
        <f>GEOMEAN(E14,E15)</f>
        <v>1.6795908632555159</v>
      </c>
    </row>
    <row r="15" spans="1:14" x14ac:dyDescent="0.35">
      <c r="A15">
        <v>16</v>
      </c>
      <c r="B15">
        <v>27</v>
      </c>
      <c r="C15">
        <v>101</v>
      </c>
      <c r="D15" s="2" t="s">
        <v>4</v>
      </c>
      <c r="E15">
        <f t="shared" si="0"/>
        <v>1.6775990099009901</v>
      </c>
    </row>
    <row r="16" spans="1:14" x14ac:dyDescent="0.35">
      <c r="A16">
        <v>36</v>
      </c>
      <c r="B16">
        <v>88</v>
      </c>
      <c r="C16">
        <v>75</v>
      </c>
      <c r="D16" t="s">
        <v>4</v>
      </c>
      <c r="E16">
        <f t="shared" si="0"/>
        <v>2.4311111111111114</v>
      </c>
    </row>
    <row r="17" spans="1:6" x14ac:dyDescent="0.35">
      <c r="A17">
        <v>43</v>
      </c>
      <c r="B17">
        <v>63</v>
      </c>
      <c r="C17">
        <v>76</v>
      </c>
      <c r="D17" t="s">
        <v>4</v>
      </c>
      <c r="E17">
        <f t="shared" si="0"/>
        <v>1.4519583843329253</v>
      </c>
    </row>
    <row r="18" spans="1:6" x14ac:dyDescent="0.35">
      <c r="A18">
        <v>33</v>
      </c>
      <c r="B18">
        <v>58</v>
      </c>
      <c r="C18">
        <v>90</v>
      </c>
      <c r="D18" s="2" t="s">
        <v>5</v>
      </c>
      <c r="E18">
        <f t="shared" si="0"/>
        <v>1.7464646464646465</v>
      </c>
      <c r="F18">
        <f>GEOMEAN(E18,E19)</f>
        <v>1.9834373115940842</v>
      </c>
    </row>
    <row r="19" spans="1:6" x14ac:dyDescent="0.35">
      <c r="A19">
        <v>26</v>
      </c>
      <c r="B19">
        <v>59</v>
      </c>
      <c r="C19">
        <v>60</v>
      </c>
      <c r="D19" s="2" t="s">
        <v>4</v>
      </c>
      <c r="E19">
        <f t="shared" si="0"/>
        <v>2.2525641025641026</v>
      </c>
    </row>
    <row r="20" spans="1:6" x14ac:dyDescent="0.35">
      <c r="A20">
        <v>63</v>
      </c>
      <c r="B20">
        <v>101</v>
      </c>
      <c r="C20">
        <v>131</v>
      </c>
      <c r="D20" t="s">
        <v>4</v>
      </c>
      <c r="E20">
        <f t="shared" si="0"/>
        <v>1.5955410153883438</v>
      </c>
    </row>
    <row r="21" spans="1:6" x14ac:dyDescent="0.35">
      <c r="A21">
        <v>54</v>
      </c>
      <c r="B21">
        <v>98</v>
      </c>
      <c r="C21">
        <v>111</v>
      </c>
      <c r="D21" s="2" t="s">
        <v>5</v>
      </c>
      <c r="E21">
        <f t="shared" si="0"/>
        <v>1.805805805805806</v>
      </c>
      <c r="F21">
        <f>GEOMEAN(E21,E22)</f>
        <v>2.7323178436803675</v>
      </c>
    </row>
    <row r="22" spans="1:6" x14ac:dyDescent="0.35">
      <c r="A22">
        <v>11</v>
      </c>
      <c r="B22">
        <v>46</v>
      </c>
      <c r="C22">
        <v>21</v>
      </c>
      <c r="D22" s="2" t="s">
        <v>4</v>
      </c>
      <c r="E22">
        <f t="shared" si="0"/>
        <v>4.1341991341991342</v>
      </c>
    </row>
    <row r="23" spans="1:6" x14ac:dyDescent="0.35">
      <c r="A23">
        <v>54</v>
      </c>
      <c r="B23">
        <v>56</v>
      </c>
      <c r="C23">
        <v>90</v>
      </c>
      <c r="D23" s="3" t="s">
        <v>5</v>
      </c>
      <c r="E23">
        <f t="shared" si="0"/>
        <v>1.0259259259259259</v>
      </c>
      <c r="F23">
        <f>GEOMEAN(E23,E24)</f>
        <v>1.1982485050553064</v>
      </c>
    </row>
    <row r="24" spans="1:6" x14ac:dyDescent="0.35">
      <c r="A24">
        <v>59</v>
      </c>
      <c r="B24">
        <v>91</v>
      </c>
      <c r="C24">
        <v>7</v>
      </c>
      <c r="D24" s="3" t="s">
        <v>4</v>
      </c>
      <c r="E24">
        <f t="shared" si="0"/>
        <v>1.3995157384987895</v>
      </c>
    </row>
    <row r="25" spans="1:6" x14ac:dyDescent="0.35">
      <c r="A25">
        <v>20</v>
      </c>
      <c r="B25">
        <v>30</v>
      </c>
      <c r="C25">
        <v>30</v>
      </c>
      <c r="D25" s="2" t="s">
        <v>5</v>
      </c>
      <c r="E25">
        <f t="shared" si="0"/>
        <v>1.4666666666666666</v>
      </c>
      <c r="F25">
        <f>GEOMEAN(E25,E26)</f>
        <v>1.5792488064742036</v>
      </c>
    </row>
    <row r="26" spans="1:6" x14ac:dyDescent="0.35">
      <c r="A26">
        <v>45</v>
      </c>
      <c r="B26">
        <v>77</v>
      </c>
      <c r="C26">
        <v>94</v>
      </c>
      <c r="D26" s="2" t="s">
        <v>4</v>
      </c>
      <c r="E26">
        <f t="shared" si="0"/>
        <v>1.7004728132387705</v>
      </c>
    </row>
    <row r="27" spans="1:6" x14ac:dyDescent="0.35">
      <c r="A27">
        <v>42</v>
      </c>
      <c r="B27">
        <v>65</v>
      </c>
      <c r="C27">
        <v>60</v>
      </c>
      <c r="D27" t="s">
        <v>4</v>
      </c>
      <c r="E27">
        <f t="shared" si="0"/>
        <v>1.5309523809523811</v>
      </c>
    </row>
    <row r="28" spans="1:6" x14ac:dyDescent="0.35">
      <c r="A28">
        <v>22</v>
      </c>
      <c r="B28">
        <v>41</v>
      </c>
      <c r="C28">
        <v>17</v>
      </c>
      <c r="D28" t="s">
        <v>4</v>
      </c>
      <c r="E28">
        <f t="shared" si="0"/>
        <v>1.8048128342245988</v>
      </c>
    </row>
    <row r="29" spans="1:6" x14ac:dyDescent="0.35">
      <c r="A29">
        <v>38</v>
      </c>
      <c r="B29">
        <v>54</v>
      </c>
      <c r="C29">
        <v>64</v>
      </c>
      <c r="D29" s="2" t="s">
        <v>5</v>
      </c>
      <c r="E29">
        <f t="shared" si="0"/>
        <v>1.4054276315789473</v>
      </c>
      <c r="F29">
        <f>GEOMEAN(E29,E30)</f>
        <v>1.3940821634379146</v>
      </c>
    </row>
    <row r="30" spans="1:6" x14ac:dyDescent="0.35">
      <c r="A30">
        <v>33</v>
      </c>
      <c r="B30">
        <v>46</v>
      </c>
      <c r="C30">
        <v>90</v>
      </c>
      <c r="D30" s="2" t="s">
        <v>4</v>
      </c>
      <c r="E30">
        <f t="shared" si="0"/>
        <v>1.382828282828283</v>
      </c>
    </row>
    <row r="31" spans="1:6" x14ac:dyDescent="0.35">
      <c r="A31">
        <v>20</v>
      </c>
      <c r="B31">
        <v>35</v>
      </c>
      <c r="C31">
        <v>30</v>
      </c>
      <c r="D31" t="s">
        <v>4</v>
      </c>
      <c r="E31">
        <f t="shared" si="0"/>
        <v>1.7166666666666666</v>
      </c>
    </row>
    <row r="32" spans="1:6" x14ac:dyDescent="0.35">
      <c r="A32">
        <v>24</v>
      </c>
      <c r="B32">
        <v>41</v>
      </c>
      <c r="C32">
        <v>45</v>
      </c>
      <c r="D32" s="2" t="s">
        <v>5</v>
      </c>
      <c r="E32">
        <f t="shared" si="0"/>
        <v>1.6861111111111111</v>
      </c>
      <c r="F32">
        <f>GEOMEAN(E32,E33)</f>
        <v>1.7898634336482522</v>
      </c>
    </row>
    <row r="33" spans="1:6" x14ac:dyDescent="0.35">
      <c r="A33">
        <v>40</v>
      </c>
      <c r="B33">
        <v>78</v>
      </c>
      <c r="C33">
        <v>20</v>
      </c>
      <c r="D33" s="2" t="s">
        <v>4</v>
      </c>
      <c r="E33">
        <f t="shared" si="0"/>
        <v>1.9</v>
      </c>
    </row>
    <row r="34" spans="1:6" x14ac:dyDescent="0.35">
      <c r="A34">
        <v>16</v>
      </c>
      <c r="B34">
        <v>30</v>
      </c>
      <c r="C34">
        <v>14</v>
      </c>
      <c r="D34" t="s">
        <v>4</v>
      </c>
      <c r="E34">
        <f t="shared" si="0"/>
        <v>1.8035714285714286</v>
      </c>
    </row>
    <row r="35" spans="1:6" x14ac:dyDescent="0.35">
      <c r="A35">
        <v>37</v>
      </c>
      <c r="B35">
        <v>74</v>
      </c>
      <c r="C35">
        <v>81</v>
      </c>
      <c r="D35" t="s">
        <v>4</v>
      </c>
      <c r="E35">
        <f t="shared" si="0"/>
        <v>1.9876543209876543</v>
      </c>
    </row>
    <row r="36" spans="1:6" x14ac:dyDescent="0.35">
      <c r="A36">
        <v>65</v>
      </c>
      <c r="B36">
        <v>71</v>
      </c>
      <c r="C36">
        <v>83</v>
      </c>
      <c r="D36" s="2" t="s">
        <v>5</v>
      </c>
      <c r="E36">
        <f t="shared" si="0"/>
        <v>1.0802594995366079</v>
      </c>
      <c r="F36">
        <f>GEOMEAN(E36,E37)</f>
        <v>1.473201446444069</v>
      </c>
    </row>
    <row r="37" spans="1:6" x14ac:dyDescent="0.35">
      <c r="A37">
        <v>59</v>
      </c>
      <c r="B37">
        <v>119</v>
      </c>
      <c r="C37">
        <v>127</v>
      </c>
      <c r="D37" s="2" t="s">
        <v>4</v>
      </c>
      <c r="E37">
        <f t="shared" si="0"/>
        <v>2.0090751367943414</v>
      </c>
    </row>
    <row r="38" spans="1:6" x14ac:dyDescent="0.35">
      <c r="A38">
        <v>74</v>
      </c>
      <c r="B38">
        <v>99</v>
      </c>
      <c r="C38">
        <v>131</v>
      </c>
      <c r="D38" s="3" t="s">
        <v>5</v>
      </c>
      <c r="E38">
        <f t="shared" si="0"/>
        <v>1.3302042500515785</v>
      </c>
      <c r="F38">
        <f>GEOMEAN(E38,E39)</f>
        <v>1.6870337410198775</v>
      </c>
    </row>
    <row r="39" spans="1:6" x14ac:dyDescent="0.35">
      <c r="A39">
        <v>32</v>
      </c>
      <c r="B39">
        <v>69</v>
      </c>
      <c r="C39">
        <v>60</v>
      </c>
      <c r="D39" s="3" t="s">
        <v>4</v>
      </c>
      <c r="E39">
        <f t="shared" si="0"/>
        <v>2.1395833333333334</v>
      </c>
    </row>
    <row r="40" spans="1:6" x14ac:dyDescent="0.35">
      <c r="A40">
        <v>59</v>
      </c>
      <c r="B40">
        <v>89</v>
      </c>
      <c r="C40">
        <v>100</v>
      </c>
      <c r="D40" t="s">
        <v>4</v>
      </c>
      <c r="E40">
        <f t="shared" si="0"/>
        <v>1.4984745762711864</v>
      </c>
    </row>
    <row r="41" spans="1:6" x14ac:dyDescent="0.35">
      <c r="A41">
        <v>49</v>
      </c>
      <c r="B41">
        <v>61</v>
      </c>
      <c r="C41">
        <v>50</v>
      </c>
      <c r="D41" t="s">
        <v>4</v>
      </c>
      <c r="E41">
        <f t="shared" si="0"/>
        <v>1.2248979591836735</v>
      </c>
    </row>
    <row r="42" spans="1:6" x14ac:dyDescent="0.35">
      <c r="A42">
        <v>72</v>
      </c>
      <c r="B42">
        <v>86</v>
      </c>
      <c r="C42">
        <v>79</v>
      </c>
      <c r="D42" t="s">
        <v>4</v>
      </c>
      <c r="E42">
        <f t="shared" si="0"/>
        <v>1.1817862165963431</v>
      </c>
    </row>
    <row r="43" spans="1:6" x14ac:dyDescent="0.35">
      <c r="A43">
        <v>24</v>
      </c>
      <c r="B43">
        <v>69</v>
      </c>
      <c r="C43">
        <v>7</v>
      </c>
      <c r="D43" s="2" t="s">
        <v>5</v>
      </c>
      <c r="E43">
        <f t="shared" si="0"/>
        <v>2.7321428571428572</v>
      </c>
      <c r="F43">
        <f>GEOMEAN(E43,E44)</f>
        <v>2.9024312468785793</v>
      </c>
    </row>
    <row r="44" spans="1:6" x14ac:dyDescent="0.35">
      <c r="A44">
        <v>20</v>
      </c>
      <c r="B44">
        <v>62</v>
      </c>
      <c r="C44">
        <v>60</v>
      </c>
      <c r="D44" s="2" t="s">
        <v>4</v>
      </c>
      <c r="E44">
        <f t="shared" si="0"/>
        <v>3.0833333333333335</v>
      </c>
    </row>
    <row r="45" spans="1:6" x14ac:dyDescent="0.35">
      <c r="A45">
        <v>17</v>
      </c>
      <c r="B45">
        <v>54</v>
      </c>
      <c r="C45">
        <v>64</v>
      </c>
      <c r="D45" t="s">
        <v>4</v>
      </c>
      <c r="E45">
        <f t="shared" si="0"/>
        <v>3.1608455882352939</v>
      </c>
    </row>
    <row r="46" spans="1:6" x14ac:dyDescent="0.35">
      <c r="A46">
        <v>47</v>
      </c>
      <c r="B46">
        <v>72</v>
      </c>
      <c r="C46">
        <v>87</v>
      </c>
      <c r="D46" t="s">
        <v>4</v>
      </c>
      <c r="E46">
        <f t="shared" si="0"/>
        <v>1.520420640743458</v>
      </c>
    </row>
    <row r="47" spans="1:6" x14ac:dyDescent="0.35">
      <c r="A47">
        <v>77</v>
      </c>
      <c r="B47">
        <v>126</v>
      </c>
      <c r="C47">
        <v>143</v>
      </c>
      <c r="D47" t="s">
        <v>4</v>
      </c>
      <c r="E47">
        <f t="shared" si="0"/>
        <v>1.6293706293706294</v>
      </c>
    </row>
    <row r="48" spans="1:6" x14ac:dyDescent="0.35">
      <c r="A48">
        <v>57</v>
      </c>
      <c r="B48">
        <v>102</v>
      </c>
      <c r="C48">
        <v>132</v>
      </c>
      <c r="D48" t="s">
        <v>4</v>
      </c>
      <c r="E48">
        <f t="shared" si="0"/>
        <v>1.7818979266347688</v>
      </c>
    </row>
    <row r="49" spans="1:6" x14ac:dyDescent="0.35">
      <c r="A49">
        <v>13</v>
      </c>
      <c r="B49">
        <v>24</v>
      </c>
      <c r="C49">
        <v>14</v>
      </c>
      <c r="D49" s="2" t="s">
        <v>5</v>
      </c>
      <c r="E49">
        <f t="shared" si="0"/>
        <v>1.7747252747252749</v>
      </c>
      <c r="F49">
        <f>GEOMEAN(E49,E50)</f>
        <v>1.871724816597802</v>
      </c>
    </row>
    <row r="50" spans="1:6" x14ac:dyDescent="0.35">
      <c r="A50">
        <v>66</v>
      </c>
      <c r="B50">
        <v>135</v>
      </c>
      <c r="C50">
        <v>14</v>
      </c>
      <c r="D50" s="2" t="s">
        <v>4</v>
      </c>
      <c r="E50">
        <f t="shared" si="0"/>
        <v>1.974025974025974</v>
      </c>
    </row>
    <row r="51" spans="1:6" x14ac:dyDescent="0.35">
      <c r="A51">
        <v>70</v>
      </c>
      <c r="B51">
        <v>150</v>
      </c>
      <c r="C51">
        <v>14</v>
      </c>
      <c r="D51" t="s">
        <v>4</v>
      </c>
      <c r="E51">
        <f t="shared" si="0"/>
        <v>2.0714285714285712</v>
      </c>
    </row>
    <row r="52" spans="1:6" x14ac:dyDescent="0.35">
      <c r="A52">
        <v>49</v>
      </c>
      <c r="B52">
        <v>86</v>
      </c>
      <c r="C52">
        <v>45</v>
      </c>
      <c r="D52" t="s">
        <v>4</v>
      </c>
      <c r="E52">
        <f t="shared" si="0"/>
        <v>1.7328798185941043</v>
      </c>
    </row>
    <row r="53" spans="1:6" x14ac:dyDescent="0.35">
      <c r="A53">
        <v>60</v>
      </c>
      <c r="B53">
        <v>66</v>
      </c>
      <c r="C53">
        <v>90</v>
      </c>
      <c r="D53" t="s">
        <v>4</v>
      </c>
      <c r="E53">
        <f t="shared" si="0"/>
        <v>1.088888888888889</v>
      </c>
    </row>
    <row r="54" spans="1:6" x14ac:dyDescent="0.35">
      <c r="A54">
        <v>64</v>
      </c>
      <c r="B54">
        <v>80</v>
      </c>
      <c r="C54">
        <v>76</v>
      </c>
      <c r="D54" s="2" t="s">
        <v>5</v>
      </c>
      <c r="E54">
        <f t="shared" si="0"/>
        <v>1.236842105263158</v>
      </c>
      <c r="F54">
        <f>GEOMEAN(E54,E55)</f>
        <v>1.3941337893317094</v>
      </c>
    </row>
    <row r="55" spans="1:6" x14ac:dyDescent="0.35">
      <c r="A55">
        <v>42</v>
      </c>
      <c r="B55">
        <v>80</v>
      </c>
      <c r="C55">
        <v>3</v>
      </c>
      <c r="D55" s="2" t="s">
        <v>4</v>
      </c>
      <c r="E55">
        <f t="shared" si="0"/>
        <v>1.5714285714285714</v>
      </c>
    </row>
    <row r="56" spans="1:6" x14ac:dyDescent="0.35">
      <c r="A56">
        <v>60</v>
      </c>
      <c r="B56">
        <v>91</v>
      </c>
      <c r="C56">
        <v>112</v>
      </c>
      <c r="D56" t="s">
        <v>4</v>
      </c>
      <c r="E56">
        <f t="shared" si="0"/>
        <v>1.5077380952380952</v>
      </c>
    </row>
    <row r="57" spans="1:6" x14ac:dyDescent="0.35">
      <c r="A57">
        <v>78</v>
      </c>
      <c r="B57">
        <v>101</v>
      </c>
      <c r="C57">
        <v>30</v>
      </c>
      <c r="D57" s="2" t="s">
        <v>5</v>
      </c>
      <c r="E57">
        <f t="shared" si="0"/>
        <v>1.2615384615384615</v>
      </c>
      <c r="F57">
        <f>GEOMEAN(E57,E58)</f>
        <v>1.2070944134892363</v>
      </c>
    </row>
    <row r="58" spans="1:6" x14ac:dyDescent="0.35">
      <c r="A58">
        <v>50</v>
      </c>
      <c r="B58">
        <v>59</v>
      </c>
      <c r="C58">
        <v>40</v>
      </c>
      <c r="D58" s="2" t="s">
        <v>4</v>
      </c>
      <c r="E58">
        <f t="shared" si="0"/>
        <v>1.155</v>
      </c>
    </row>
    <row r="59" spans="1:6" x14ac:dyDescent="0.35">
      <c r="A59">
        <v>54</v>
      </c>
      <c r="B59">
        <v>76</v>
      </c>
      <c r="C59">
        <v>67</v>
      </c>
      <c r="D59" t="s">
        <v>4</v>
      </c>
      <c r="E59">
        <f t="shared" si="0"/>
        <v>1.392482034273079</v>
      </c>
    </row>
    <row r="60" spans="1:6" x14ac:dyDescent="0.35">
      <c r="A60">
        <v>69</v>
      </c>
      <c r="B60">
        <v>90</v>
      </c>
      <c r="C60">
        <v>30</v>
      </c>
      <c r="D60" s="2" t="s">
        <v>5</v>
      </c>
      <c r="E60">
        <f t="shared" si="0"/>
        <v>1.2710144927536231</v>
      </c>
      <c r="F60">
        <f>GEOMEAN(E60,E61)</f>
        <v>1.1721059388133732</v>
      </c>
    </row>
    <row r="61" spans="1:6" x14ac:dyDescent="0.35">
      <c r="A61">
        <v>41</v>
      </c>
      <c r="B61">
        <v>45</v>
      </c>
      <c r="C61">
        <v>60</v>
      </c>
      <c r="D61" s="2" t="s">
        <v>4</v>
      </c>
      <c r="E61">
        <f t="shared" si="0"/>
        <v>1.0808943089430896</v>
      </c>
    </row>
    <row r="62" spans="1:6" x14ac:dyDescent="0.35">
      <c r="A62">
        <v>55</v>
      </c>
      <c r="B62">
        <v>69</v>
      </c>
      <c r="C62">
        <v>60</v>
      </c>
      <c r="D62" s="3" t="s">
        <v>5</v>
      </c>
      <c r="E62">
        <f t="shared" si="0"/>
        <v>1.237878787878788</v>
      </c>
      <c r="F62">
        <f>GEOMEAN(E62,E63)</f>
        <v>1.2296261706228115</v>
      </c>
    </row>
    <row r="63" spans="1:6" x14ac:dyDescent="0.35">
      <c r="A63">
        <v>42</v>
      </c>
      <c r="B63">
        <v>52</v>
      </c>
      <c r="C63">
        <v>60</v>
      </c>
      <c r="D63" s="3" t="s">
        <v>4</v>
      </c>
      <c r="E63">
        <f t="shared" si="0"/>
        <v>1.2214285714285715</v>
      </c>
    </row>
    <row r="64" spans="1:6" x14ac:dyDescent="0.35">
      <c r="A64">
        <v>21</v>
      </c>
      <c r="B64">
        <v>44</v>
      </c>
      <c r="C64">
        <v>90</v>
      </c>
      <c r="D64" t="s">
        <v>4</v>
      </c>
      <c r="E64">
        <f t="shared" si="0"/>
        <v>2.0841269841269843</v>
      </c>
    </row>
    <row r="65" spans="1:6" x14ac:dyDescent="0.35">
      <c r="A65">
        <v>68</v>
      </c>
      <c r="B65">
        <v>101</v>
      </c>
      <c r="C65">
        <v>121</v>
      </c>
      <c r="D65" s="2" t="s">
        <v>5</v>
      </c>
      <c r="E65">
        <f t="shared" si="0"/>
        <v>1.4770296548371415</v>
      </c>
      <c r="F65">
        <f>GEOMEAN(E65,E66)</f>
        <v>1.3178121286030746</v>
      </c>
    </row>
    <row r="66" spans="1:6" x14ac:dyDescent="0.35">
      <c r="A66">
        <v>33</v>
      </c>
      <c r="B66">
        <v>41</v>
      </c>
      <c r="C66">
        <v>15</v>
      </c>
      <c r="D66" s="2" t="s">
        <v>4</v>
      </c>
      <c r="E66">
        <f t="shared" si="0"/>
        <v>1.1757575757575758</v>
      </c>
    </row>
    <row r="67" spans="1:6" x14ac:dyDescent="0.35">
      <c r="A67">
        <v>65</v>
      </c>
      <c r="B67">
        <v>70</v>
      </c>
      <c r="C67">
        <v>90</v>
      </c>
      <c r="D67" t="s">
        <v>4</v>
      </c>
      <c r="E67">
        <f t="shared" ref="E67:E101" si="1">((B67/A67)-1/C67)</f>
        <v>1.0658119658119658</v>
      </c>
    </row>
    <row r="68" spans="1:6" x14ac:dyDescent="0.35">
      <c r="A68">
        <v>60</v>
      </c>
      <c r="B68">
        <v>118</v>
      </c>
      <c r="C68">
        <v>90</v>
      </c>
      <c r="D68" t="s">
        <v>4</v>
      </c>
      <c r="E68">
        <f t="shared" si="1"/>
        <v>1.9555555555555555</v>
      </c>
    </row>
    <row r="69" spans="1:6" x14ac:dyDescent="0.35">
      <c r="A69">
        <v>63</v>
      </c>
      <c r="B69">
        <v>135</v>
      </c>
      <c r="C69">
        <v>101</v>
      </c>
      <c r="D69" t="s">
        <v>4</v>
      </c>
      <c r="E69">
        <f t="shared" si="1"/>
        <v>2.1329561527581329</v>
      </c>
    </row>
    <row r="70" spans="1:6" x14ac:dyDescent="0.35">
      <c r="A70">
        <v>60</v>
      </c>
      <c r="B70">
        <v>112</v>
      </c>
      <c r="C70">
        <v>55</v>
      </c>
      <c r="D70" s="2" t="s">
        <v>5</v>
      </c>
      <c r="E70">
        <f t="shared" si="1"/>
        <v>1.8484848484848486</v>
      </c>
      <c r="F70">
        <f>GEOMEAN(E70,E71)</f>
        <v>1.5910973738582481</v>
      </c>
    </row>
    <row r="71" spans="1:6" x14ac:dyDescent="0.35">
      <c r="A71">
        <v>33</v>
      </c>
      <c r="B71">
        <v>46</v>
      </c>
      <c r="C71">
        <v>41</v>
      </c>
      <c r="D71" s="2" t="s">
        <v>4</v>
      </c>
      <c r="E71">
        <f t="shared" si="1"/>
        <v>1.369549150036955</v>
      </c>
    </row>
    <row r="72" spans="1:6" x14ac:dyDescent="0.35">
      <c r="A72">
        <v>25</v>
      </c>
      <c r="B72">
        <v>50</v>
      </c>
      <c r="C72">
        <v>62</v>
      </c>
      <c r="D72" s="3" t="s">
        <v>5</v>
      </c>
      <c r="E72">
        <f t="shared" si="1"/>
        <v>1.9838709677419355</v>
      </c>
      <c r="F72">
        <f>GEOMEAN(E72,E73)</f>
        <v>1.9024258363396063</v>
      </c>
    </row>
    <row r="73" spans="1:6" x14ac:dyDescent="0.35">
      <c r="A73">
        <v>54</v>
      </c>
      <c r="B73">
        <v>99</v>
      </c>
      <c r="C73">
        <v>111</v>
      </c>
      <c r="D73" s="3" t="s">
        <v>4</v>
      </c>
      <c r="E73">
        <f t="shared" si="1"/>
        <v>1.8243243243243243</v>
      </c>
    </row>
    <row r="74" spans="1:6" x14ac:dyDescent="0.35">
      <c r="A74">
        <v>38</v>
      </c>
      <c r="B74">
        <v>61</v>
      </c>
      <c r="C74">
        <v>67</v>
      </c>
      <c r="D74" s="2" t="s">
        <v>5</v>
      </c>
      <c r="E74">
        <f t="shared" si="1"/>
        <v>1.5903377847604085</v>
      </c>
      <c r="F74">
        <f>GEOMEAN(E74,E75)</f>
        <v>0.76464567552762075</v>
      </c>
    </row>
    <row r="75" spans="1:6" x14ac:dyDescent="0.35">
      <c r="A75">
        <v>68</v>
      </c>
      <c r="B75">
        <v>93</v>
      </c>
      <c r="C75">
        <v>1</v>
      </c>
      <c r="D75" s="2" t="s">
        <v>4</v>
      </c>
      <c r="E75">
        <f t="shared" si="1"/>
        <v>0.36764705882352944</v>
      </c>
    </row>
    <row r="76" spans="1:6" x14ac:dyDescent="0.35">
      <c r="A76">
        <v>28</v>
      </c>
      <c r="B76">
        <v>33</v>
      </c>
      <c r="C76">
        <v>41</v>
      </c>
      <c r="D76" t="s">
        <v>4</v>
      </c>
      <c r="E76">
        <f t="shared" si="1"/>
        <v>1.1541811846689896</v>
      </c>
    </row>
    <row r="77" spans="1:6" x14ac:dyDescent="0.35">
      <c r="A77">
        <v>11</v>
      </c>
      <c r="B77">
        <v>24</v>
      </c>
      <c r="C77">
        <v>90</v>
      </c>
      <c r="D77" t="s">
        <v>4</v>
      </c>
      <c r="E77">
        <f t="shared" si="1"/>
        <v>2.1707070707070706</v>
      </c>
    </row>
    <row r="78" spans="1:6" x14ac:dyDescent="0.35">
      <c r="A78">
        <v>32</v>
      </c>
      <c r="B78">
        <v>78</v>
      </c>
      <c r="C78">
        <v>14</v>
      </c>
      <c r="D78" t="s">
        <v>4</v>
      </c>
      <c r="E78">
        <f t="shared" si="1"/>
        <v>2.3660714285714284</v>
      </c>
    </row>
    <row r="79" spans="1:6" x14ac:dyDescent="0.35">
      <c r="A79">
        <v>44</v>
      </c>
      <c r="B79">
        <v>83</v>
      </c>
      <c r="C79">
        <v>76</v>
      </c>
      <c r="D79" t="s">
        <v>4</v>
      </c>
      <c r="E79">
        <f t="shared" si="1"/>
        <v>1.8732057416267944</v>
      </c>
    </row>
    <row r="80" spans="1:6" x14ac:dyDescent="0.35">
      <c r="A80">
        <v>23</v>
      </c>
      <c r="B80">
        <v>61</v>
      </c>
      <c r="C80">
        <v>60</v>
      </c>
      <c r="D80" s="2" t="s">
        <v>5</v>
      </c>
      <c r="E80">
        <f t="shared" si="1"/>
        <v>2.6355072463768114</v>
      </c>
      <c r="F80">
        <f>GEOMEAN(E80,E81)</f>
        <v>1.9384109178855142</v>
      </c>
    </row>
    <row r="81" spans="1:6" x14ac:dyDescent="0.35">
      <c r="A81">
        <v>53</v>
      </c>
      <c r="B81">
        <v>76</v>
      </c>
      <c r="C81">
        <v>121</v>
      </c>
      <c r="D81" s="2" t="s">
        <v>4</v>
      </c>
      <c r="E81">
        <f t="shared" si="1"/>
        <v>1.425697801341026</v>
      </c>
    </row>
    <row r="82" spans="1:6" x14ac:dyDescent="0.35">
      <c r="A82">
        <v>52</v>
      </c>
      <c r="B82">
        <v>67</v>
      </c>
      <c r="C82">
        <v>30</v>
      </c>
      <c r="D82" t="s">
        <v>4</v>
      </c>
      <c r="E82">
        <f t="shared" si="1"/>
        <v>1.2551282051282051</v>
      </c>
    </row>
    <row r="83" spans="1:6" x14ac:dyDescent="0.35">
      <c r="A83">
        <v>77</v>
      </c>
      <c r="B83">
        <v>91</v>
      </c>
      <c r="C83">
        <v>101</v>
      </c>
      <c r="D83" t="s">
        <v>4</v>
      </c>
      <c r="E83">
        <f t="shared" si="1"/>
        <v>1.171917191719172</v>
      </c>
    </row>
    <row r="84" spans="1:6" x14ac:dyDescent="0.35">
      <c r="A84">
        <v>60</v>
      </c>
      <c r="B84">
        <v>94</v>
      </c>
      <c r="C84">
        <v>111</v>
      </c>
      <c r="D84" t="s">
        <v>4</v>
      </c>
      <c r="E84">
        <f t="shared" si="1"/>
        <v>1.5576576576576577</v>
      </c>
    </row>
    <row r="85" spans="1:6" x14ac:dyDescent="0.35">
      <c r="A85">
        <v>74</v>
      </c>
      <c r="B85">
        <v>124</v>
      </c>
      <c r="C85">
        <v>160</v>
      </c>
      <c r="D85" t="s">
        <v>4</v>
      </c>
      <c r="E85">
        <f t="shared" si="1"/>
        <v>1.6694256756756756</v>
      </c>
    </row>
    <row r="86" spans="1:6" x14ac:dyDescent="0.35">
      <c r="A86">
        <v>78</v>
      </c>
      <c r="B86">
        <v>166</v>
      </c>
      <c r="C86">
        <v>130</v>
      </c>
      <c r="D86" t="s">
        <v>4</v>
      </c>
      <c r="E86">
        <f t="shared" si="1"/>
        <v>2.1205128205128205</v>
      </c>
    </row>
    <row r="87" spans="1:6" x14ac:dyDescent="0.35">
      <c r="A87">
        <v>75</v>
      </c>
      <c r="B87">
        <v>119</v>
      </c>
      <c r="C87">
        <v>132</v>
      </c>
      <c r="D87" s="2" t="s">
        <v>5</v>
      </c>
      <c r="E87">
        <f t="shared" si="1"/>
        <v>1.5790909090909091</v>
      </c>
      <c r="F87">
        <f>GEOMEAN(E87,E88)</f>
        <v>1.894605256389865</v>
      </c>
    </row>
    <row r="88" spans="1:6" x14ac:dyDescent="0.35">
      <c r="A88">
        <v>68</v>
      </c>
      <c r="B88">
        <v>155</v>
      </c>
      <c r="C88">
        <v>160</v>
      </c>
      <c r="D88" s="2" t="s">
        <v>4</v>
      </c>
      <c r="E88">
        <f t="shared" si="1"/>
        <v>2.2731617647058822</v>
      </c>
    </row>
    <row r="89" spans="1:6" x14ac:dyDescent="0.35">
      <c r="A89">
        <v>37</v>
      </c>
      <c r="B89">
        <v>69</v>
      </c>
      <c r="C89">
        <v>74</v>
      </c>
      <c r="D89" t="s">
        <v>4</v>
      </c>
      <c r="E89">
        <f t="shared" si="1"/>
        <v>1.8513513513513513</v>
      </c>
    </row>
    <row r="90" spans="1:6" x14ac:dyDescent="0.35">
      <c r="A90">
        <v>18</v>
      </c>
      <c r="B90">
        <v>97</v>
      </c>
      <c r="C90">
        <v>101</v>
      </c>
      <c r="D90" s="2" t="s">
        <v>5</v>
      </c>
      <c r="E90">
        <f t="shared" si="1"/>
        <v>5.3789878987898794</v>
      </c>
      <c r="F90">
        <f>GEOMEAN(E90,E91)</f>
        <v>2.9896972045938037</v>
      </c>
    </row>
    <row r="91" spans="1:6" x14ac:dyDescent="0.35">
      <c r="A91">
        <v>49</v>
      </c>
      <c r="B91">
        <v>82</v>
      </c>
      <c r="C91">
        <v>85</v>
      </c>
      <c r="D91" s="2" t="s">
        <v>4</v>
      </c>
      <c r="E91">
        <f t="shared" si="1"/>
        <v>1.6617046818727492</v>
      </c>
    </row>
    <row r="92" spans="1:6" x14ac:dyDescent="0.35">
      <c r="A92">
        <v>61</v>
      </c>
      <c r="B92">
        <v>95</v>
      </c>
      <c r="C92">
        <v>90</v>
      </c>
      <c r="D92" t="s">
        <v>4</v>
      </c>
      <c r="E92">
        <f t="shared" si="1"/>
        <v>1.5462659380692167</v>
      </c>
    </row>
    <row r="93" spans="1:6" x14ac:dyDescent="0.35">
      <c r="A93">
        <v>43</v>
      </c>
      <c r="B93">
        <v>68</v>
      </c>
      <c r="C93">
        <v>76</v>
      </c>
      <c r="D93" s="2" t="s">
        <v>5</v>
      </c>
      <c r="E93">
        <f t="shared" si="1"/>
        <v>1.5682374541003672</v>
      </c>
      <c r="F93">
        <f>GEOMEAN(E93,E94)</f>
        <v>1.7580792514722172</v>
      </c>
    </row>
    <row r="94" spans="1:6" x14ac:dyDescent="0.35">
      <c r="A94">
        <v>48</v>
      </c>
      <c r="B94">
        <v>95</v>
      </c>
      <c r="C94">
        <v>121</v>
      </c>
      <c r="D94" s="2" t="s">
        <v>4</v>
      </c>
      <c r="E94">
        <f t="shared" si="1"/>
        <v>1.9709022038567494</v>
      </c>
    </row>
    <row r="95" spans="1:6" x14ac:dyDescent="0.35">
      <c r="A95">
        <v>40</v>
      </c>
      <c r="B95">
        <v>49</v>
      </c>
      <c r="C95">
        <v>90</v>
      </c>
      <c r="D95" t="s">
        <v>4</v>
      </c>
      <c r="E95">
        <f t="shared" si="1"/>
        <v>1.213888888888889</v>
      </c>
    </row>
    <row r="96" spans="1:6" x14ac:dyDescent="0.35">
      <c r="A96">
        <v>42</v>
      </c>
      <c r="B96">
        <v>56</v>
      </c>
      <c r="C96">
        <v>67</v>
      </c>
      <c r="D96" t="s">
        <v>4</v>
      </c>
      <c r="E96">
        <f t="shared" si="1"/>
        <v>1.3184079601990049</v>
      </c>
    </row>
    <row r="97" spans="1:6" x14ac:dyDescent="0.35">
      <c r="A97">
        <v>17</v>
      </c>
      <c r="B97">
        <v>84</v>
      </c>
      <c r="C97">
        <v>90</v>
      </c>
      <c r="D97" s="2" t="s">
        <v>5</v>
      </c>
      <c r="E97">
        <f t="shared" si="1"/>
        <v>4.9300653594771244</v>
      </c>
      <c r="F97">
        <f>GEOMEAN(E97,E98)</f>
        <v>2.4673637225497029</v>
      </c>
    </row>
    <row r="98" spans="1:6" x14ac:dyDescent="0.35">
      <c r="A98">
        <v>44</v>
      </c>
      <c r="B98">
        <v>69</v>
      </c>
      <c r="C98">
        <v>3</v>
      </c>
      <c r="D98" s="2" t="s">
        <v>4</v>
      </c>
      <c r="E98">
        <f t="shared" si="1"/>
        <v>1.2348484848484849</v>
      </c>
    </row>
    <row r="99" spans="1:6" x14ac:dyDescent="0.35">
      <c r="A99">
        <v>34</v>
      </c>
      <c r="B99">
        <v>82</v>
      </c>
      <c r="C99">
        <v>90</v>
      </c>
      <c r="D99" t="s">
        <v>4</v>
      </c>
      <c r="E99">
        <f t="shared" si="1"/>
        <v>2.4006535947712417</v>
      </c>
    </row>
    <row r="100" spans="1:6" x14ac:dyDescent="0.35">
      <c r="A100">
        <v>21</v>
      </c>
      <c r="B100">
        <v>49</v>
      </c>
      <c r="C100">
        <v>50</v>
      </c>
      <c r="D100" t="s">
        <v>4</v>
      </c>
      <c r="E100">
        <f t="shared" si="1"/>
        <v>2.3133333333333335</v>
      </c>
    </row>
    <row r="101" spans="1:6" x14ac:dyDescent="0.35">
      <c r="A101">
        <v>35</v>
      </c>
      <c r="B101">
        <v>54</v>
      </c>
      <c r="C101">
        <v>101</v>
      </c>
      <c r="D101" t="s">
        <v>4</v>
      </c>
      <c r="E101">
        <f t="shared" si="1"/>
        <v>1.532956152758133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212_delay_discounting_2025-10-3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2025-10-30T06:50:25Z</dcterms:created>
  <dcterms:modified xsi:type="dcterms:W3CDTF">2025-10-30T07:56:19Z</dcterms:modified>
</cp:coreProperties>
</file>