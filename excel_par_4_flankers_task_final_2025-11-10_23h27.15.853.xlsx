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solo project\data\final data\"/>
    </mc:Choice>
  </mc:AlternateContent>
  <xr:revisionPtr revIDLastSave="0" documentId="13_ncr:1_{55400452-04BF-46DA-89E4-366FF17E67DD}" xr6:coauthVersionLast="47" xr6:coauthVersionMax="47" xr10:uidLastSave="{00000000-0000-0000-0000-000000000000}"/>
  <bookViews>
    <workbookView xWindow="-110" yWindow="-110" windowWidth="19420" windowHeight="10300" xr2:uid="{0FA8589A-8E2F-4955-B80C-DF6F4E99A9E3}"/>
  </bookViews>
  <sheets>
    <sheet name="_par_4_flankers_task_final_2025" sheetId="1" r:id="rId1"/>
  </sheets>
  <definedNames>
    <definedName name="_xlnm._FilterDatabase" localSheetId="0" hidden="1">_par_4_flankers_task_final_2025!$D$1:$D$101</definedName>
  </definedNames>
  <calcPr calcId="191029"/>
</workbook>
</file>

<file path=xl/calcChain.xml><?xml version="1.0" encoding="utf-8"?>
<calcChain xmlns="http://schemas.openxmlformats.org/spreadsheetml/2006/main">
  <c r="P6" i="1" l="1"/>
  <c r="P5" i="1"/>
  <c r="L7" i="1"/>
  <c r="L6" i="1"/>
  <c r="L9" i="1" l="1"/>
  <c r="Q13" i="1" s="1"/>
  <c r="L8" i="1"/>
  <c r="Q12" i="1" s="1"/>
  <c r="Q14" i="1" l="1"/>
</calcChain>
</file>

<file path=xl/sharedStrings.xml><?xml version="1.0" encoding="utf-8"?>
<sst xmlns="http://schemas.openxmlformats.org/spreadsheetml/2006/main" count="518" uniqueCount="27">
  <si>
    <t>trialno</t>
  </si>
  <si>
    <t>Condition</t>
  </si>
  <si>
    <t>Stimulus</t>
  </si>
  <si>
    <t>Target</t>
  </si>
  <si>
    <t>key_resp.corr</t>
  </si>
  <si>
    <t>key_resp.rt</t>
  </si>
  <si>
    <t>C</t>
  </si>
  <si>
    <t>&gt;&gt;&gt;&gt;&gt;</t>
  </si>
  <si>
    <t xml:space="preserve">&gt; </t>
  </si>
  <si>
    <t>I</t>
  </si>
  <si>
    <t>&gt;&gt;&gt;&lt;&gt;</t>
  </si>
  <si>
    <t>&lt;</t>
  </si>
  <si>
    <t>&lt;&lt;&gt;&lt;&lt;</t>
  </si>
  <si>
    <t>&lt;&lt;&lt;&lt;&lt;</t>
  </si>
  <si>
    <t>prev_cond</t>
  </si>
  <si>
    <t>-</t>
  </si>
  <si>
    <t>seq</t>
  </si>
  <si>
    <t>CI</t>
  </si>
  <si>
    <t>II</t>
  </si>
  <si>
    <t>IC</t>
  </si>
  <si>
    <t>CC</t>
  </si>
  <si>
    <t>Congruency effect after congruent: Mean(CI) - Mean(CC)</t>
  </si>
  <si>
    <t>Congruency effect after incongruent: Mean(II) - Mean(IC)</t>
  </si>
  <si>
    <t>Gratton effect</t>
  </si>
  <si>
    <t>RT</t>
  </si>
  <si>
    <t>ACCURACY C</t>
  </si>
  <si>
    <t xml:space="preserve">ACCURACY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</si>
</sst>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3E8C-079E-4AF9-9A76-75EE4B4C6AC6}">
  <dimension ref="A1:Q101"/>
  <sheetViews>
    <sheetView tabSelected="1" zoomScale="73" zoomScaleNormal="40" workbookViewId="0">
      <selection activeCell="R12" sqref="R12"/>
    </sheetView>
  </sheetViews>
  <sheetFormatPr defaultRowHeight="14.5" x14ac:dyDescent="0.35"/>
  <cols>
    <col min="15" max="15" width="12.54296875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14</v>
      </c>
      <c r="G1" t="s">
        <v>1</v>
      </c>
      <c r="H1" t="s">
        <v>16</v>
      </c>
    </row>
    <row r="2" spans="1:17" x14ac:dyDescent="0.35">
      <c r="A2">
        <v>2</v>
      </c>
      <c r="B2" t="s">
        <v>7</v>
      </c>
      <c r="C2" t="s">
        <v>8</v>
      </c>
      <c r="D2">
        <v>1</v>
      </c>
      <c r="E2">
        <v>1.4207213999998201</v>
      </c>
      <c r="F2" t="s">
        <v>15</v>
      </c>
      <c r="G2" t="s">
        <v>6</v>
      </c>
      <c r="H2" t="s">
        <v>6</v>
      </c>
    </row>
    <row r="3" spans="1:17" x14ac:dyDescent="0.35">
      <c r="A3">
        <v>1</v>
      </c>
      <c r="B3" t="s">
        <v>13</v>
      </c>
      <c r="C3" t="s">
        <v>11</v>
      </c>
      <c r="D3">
        <v>1</v>
      </c>
      <c r="E3">
        <v>1.70819130000018</v>
      </c>
      <c r="F3" t="s">
        <v>9</v>
      </c>
      <c r="G3" t="s">
        <v>6</v>
      </c>
      <c r="H3" t="s">
        <v>19</v>
      </c>
    </row>
    <row r="4" spans="1:17" x14ac:dyDescent="0.35">
      <c r="A4">
        <v>1</v>
      </c>
      <c r="B4" t="s">
        <v>13</v>
      </c>
      <c r="C4" t="s">
        <v>11</v>
      </c>
      <c r="D4">
        <v>1</v>
      </c>
      <c r="E4">
        <v>1.5810758000002301</v>
      </c>
      <c r="F4" t="s">
        <v>6</v>
      </c>
      <c r="G4" t="s">
        <v>6</v>
      </c>
      <c r="H4" t="s">
        <v>20</v>
      </c>
      <c r="L4" t="s">
        <v>24</v>
      </c>
    </row>
    <row r="5" spans="1:17" x14ac:dyDescent="0.35">
      <c r="A5">
        <v>2</v>
      </c>
      <c r="B5" t="s">
        <v>7</v>
      </c>
      <c r="C5" t="s">
        <v>8</v>
      </c>
      <c r="D5">
        <v>0</v>
      </c>
      <c r="E5">
        <v>1.6629110999997401</v>
      </c>
      <c r="F5" t="s">
        <v>9</v>
      </c>
      <c r="G5" t="s">
        <v>6</v>
      </c>
      <c r="H5" t="s">
        <v>19</v>
      </c>
      <c r="O5" t="s">
        <v>25</v>
      </c>
      <c r="P5">
        <f>AVERAGE(D2:D51)*100</f>
        <v>90</v>
      </c>
    </row>
    <row r="6" spans="1:17" x14ac:dyDescent="0.35">
      <c r="A6">
        <v>1</v>
      </c>
      <c r="B6" t="s">
        <v>13</v>
      </c>
      <c r="C6" t="s">
        <v>11</v>
      </c>
      <c r="D6">
        <v>1</v>
      </c>
      <c r="E6">
        <v>1.14824629999975</v>
      </c>
      <c r="F6" t="s">
        <v>9</v>
      </c>
      <c r="G6" t="s">
        <v>6</v>
      </c>
      <c r="H6" t="s">
        <v>19</v>
      </c>
      <c r="K6" t="s">
        <v>17</v>
      </c>
      <c r="L6">
        <f>AVERAGEIFS(E3:E101, H3:H101, "CI")</f>
        <v>2.2974798117647559</v>
      </c>
      <c r="O6" t="s">
        <v>26</v>
      </c>
      <c r="P6">
        <f>AVERAGE(D52:D101)*100</f>
        <v>82</v>
      </c>
    </row>
    <row r="7" spans="1:17" x14ac:dyDescent="0.35">
      <c r="A7">
        <v>2</v>
      </c>
      <c r="B7" t="s">
        <v>7</v>
      </c>
      <c r="C7" t="s">
        <v>8</v>
      </c>
      <c r="D7">
        <v>1</v>
      </c>
      <c r="E7">
        <v>1.21696980000024</v>
      </c>
      <c r="F7" t="s">
        <v>6</v>
      </c>
      <c r="G7" t="s">
        <v>6</v>
      </c>
      <c r="H7" t="s">
        <v>20</v>
      </c>
      <c r="K7" t="s">
        <v>19</v>
      </c>
      <c r="L7">
        <f>AVERAGEIFS(E3:E101, H3:H101, "IC")</f>
        <v>1.5308728303030332</v>
      </c>
    </row>
    <row r="8" spans="1:17" x14ac:dyDescent="0.35">
      <c r="A8">
        <v>2</v>
      </c>
      <c r="B8" t="s">
        <v>7</v>
      </c>
      <c r="C8" t="s">
        <v>8</v>
      </c>
      <c r="D8">
        <v>1</v>
      </c>
      <c r="E8">
        <v>2.2312673999999699</v>
      </c>
      <c r="F8" t="s">
        <v>9</v>
      </c>
      <c r="G8" t="s">
        <v>6</v>
      </c>
      <c r="H8" t="s">
        <v>19</v>
      </c>
      <c r="K8" t="s">
        <v>20</v>
      </c>
      <c r="L8">
        <f>AVERAGEIFS(E3:E101, H3:H101, "CC")</f>
        <v>1.4930317312499952</v>
      </c>
    </row>
    <row r="9" spans="1:17" x14ac:dyDescent="0.35">
      <c r="A9">
        <v>1</v>
      </c>
      <c r="B9" t="s">
        <v>13</v>
      </c>
      <c r="C9" t="s">
        <v>11</v>
      </c>
      <c r="D9">
        <v>1</v>
      </c>
      <c r="E9">
        <v>1.8247682000001</v>
      </c>
      <c r="F9" t="s">
        <v>9</v>
      </c>
      <c r="G9" t="s">
        <v>6</v>
      </c>
      <c r="H9" t="s">
        <v>19</v>
      </c>
      <c r="K9" t="s">
        <v>18</v>
      </c>
      <c r="L9">
        <f>AVERAGEIFS(E3:E101, H3:H101, "II")</f>
        <v>2.6790186249999648</v>
      </c>
    </row>
    <row r="10" spans="1:17" x14ac:dyDescent="0.35">
      <c r="A10">
        <v>2</v>
      </c>
      <c r="B10" t="s">
        <v>7</v>
      </c>
      <c r="C10" t="s">
        <v>8</v>
      </c>
      <c r="D10">
        <v>1</v>
      </c>
      <c r="E10">
        <v>1.06630059999997</v>
      </c>
      <c r="F10" t="s">
        <v>9</v>
      </c>
      <c r="G10" t="s">
        <v>6</v>
      </c>
      <c r="H10" t="s">
        <v>19</v>
      </c>
    </row>
    <row r="11" spans="1:17" x14ac:dyDescent="0.35">
      <c r="A11">
        <v>1</v>
      </c>
      <c r="B11" t="s">
        <v>13</v>
      </c>
      <c r="C11" t="s">
        <v>11</v>
      </c>
      <c r="D11">
        <v>1</v>
      </c>
      <c r="E11">
        <v>1.3635757999995799</v>
      </c>
      <c r="F11" t="s">
        <v>6</v>
      </c>
      <c r="G11" t="s">
        <v>6</v>
      </c>
      <c r="H11" t="s">
        <v>20</v>
      </c>
    </row>
    <row r="12" spans="1:17" x14ac:dyDescent="0.35">
      <c r="A12">
        <v>1</v>
      </c>
      <c r="B12" t="s">
        <v>13</v>
      </c>
      <c r="C12" t="s">
        <v>11</v>
      </c>
      <c r="D12">
        <v>1</v>
      </c>
      <c r="E12">
        <v>2.1089080999999998</v>
      </c>
      <c r="F12" t="s">
        <v>9</v>
      </c>
      <c r="G12" t="s">
        <v>6</v>
      </c>
      <c r="H12" t="s">
        <v>19</v>
      </c>
      <c r="K12" t="s">
        <v>21</v>
      </c>
      <c r="Q12">
        <f>L6-L8</f>
        <v>0.80444808051476069</v>
      </c>
    </row>
    <row r="13" spans="1:17" x14ac:dyDescent="0.35">
      <c r="A13">
        <v>2</v>
      </c>
      <c r="B13" t="s">
        <v>7</v>
      </c>
      <c r="C13" t="s">
        <v>8</v>
      </c>
      <c r="D13">
        <v>1</v>
      </c>
      <c r="E13">
        <v>1.98859549999997</v>
      </c>
      <c r="F13" t="s">
        <v>6</v>
      </c>
      <c r="G13" t="s">
        <v>6</v>
      </c>
      <c r="H13" t="s">
        <v>20</v>
      </c>
      <c r="K13" t="s">
        <v>22</v>
      </c>
      <c r="Q13">
        <f>L9-L7</f>
        <v>1.1481457946969316</v>
      </c>
    </row>
    <row r="14" spans="1:17" x14ac:dyDescent="0.35">
      <c r="A14">
        <v>1</v>
      </c>
      <c r="B14" t="s">
        <v>13</v>
      </c>
      <c r="C14" t="s">
        <v>11</v>
      </c>
      <c r="D14">
        <v>1</v>
      </c>
      <c r="E14">
        <v>1.8152762000004199</v>
      </c>
      <c r="F14" t="s">
        <v>6</v>
      </c>
      <c r="G14" t="s">
        <v>6</v>
      </c>
      <c r="H14" t="s">
        <v>20</v>
      </c>
      <c r="K14" t="s">
        <v>23</v>
      </c>
      <c r="Q14">
        <f>Q13-Q12</f>
        <v>0.34369771418217088</v>
      </c>
    </row>
    <row r="15" spans="1:17" x14ac:dyDescent="0.35">
      <c r="A15">
        <v>2</v>
      </c>
      <c r="B15" t="s">
        <v>7</v>
      </c>
      <c r="C15" t="s">
        <v>8</v>
      </c>
      <c r="D15">
        <v>1</v>
      </c>
      <c r="E15">
        <v>1.2851696000002399</v>
      </c>
      <c r="F15" t="s">
        <v>9</v>
      </c>
      <c r="G15" t="s">
        <v>6</v>
      </c>
      <c r="H15" t="s">
        <v>19</v>
      </c>
    </row>
    <row r="16" spans="1:17" x14ac:dyDescent="0.35">
      <c r="A16">
        <v>1</v>
      </c>
      <c r="B16" t="s">
        <v>13</v>
      </c>
      <c r="C16" t="s">
        <v>11</v>
      </c>
      <c r="D16">
        <v>1</v>
      </c>
      <c r="E16">
        <v>1.4506543000002201</v>
      </c>
      <c r="F16" t="s">
        <v>9</v>
      </c>
      <c r="G16" t="s">
        <v>6</v>
      </c>
      <c r="H16" t="s">
        <v>19</v>
      </c>
    </row>
    <row r="17" spans="1:8" x14ac:dyDescent="0.35">
      <c r="A17">
        <v>2</v>
      </c>
      <c r="B17" t="s">
        <v>7</v>
      </c>
      <c r="C17" t="s">
        <v>8</v>
      </c>
      <c r="D17">
        <v>1</v>
      </c>
      <c r="E17">
        <v>0.93884770000022399</v>
      </c>
      <c r="F17" t="s">
        <v>6</v>
      </c>
      <c r="G17" t="s">
        <v>6</v>
      </c>
      <c r="H17" t="s">
        <v>20</v>
      </c>
    </row>
    <row r="18" spans="1:8" x14ac:dyDescent="0.35">
      <c r="A18">
        <v>1</v>
      </c>
      <c r="B18" t="s">
        <v>13</v>
      </c>
      <c r="C18" t="s">
        <v>11</v>
      </c>
      <c r="D18">
        <v>1</v>
      </c>
      <c r="E18">
        <v>1.05727440000009</v>
      </c>
      <c r="F18" t="s">
        <v>9</v>
      </c>
      <c r="G18" t="s">
        <v>6</v>
      </c>
      <c r="H18" t="s">
        <v>19</v>
      </c>
    </row>
    <row r="19" spans="1:8" x14ac:dyDescent="0.35">
      <c r="A19">
        <v>2</v>
      </c>
      <c r="B19" t="s">
        <v>7</v>
      </c>
      <c r="C19" t="s">
        <v>8</v>
      </c>
      <c r="D19">
        <v>1</v>
      </c>
      <c r="E19">
        <v>1.9830136999999</v>
      </c>
      <c r="F19" t="s">
        <v>9</v>
      </c>
      <c r="G19" t="s">
        <v>6</v>
      </c>
      <c r="H19" t="s">
        <v>19</v>
      </c>
    </row>
    <row r="20" spans="1:8" x14ac:dyDescent="0.35">
      <c r="A20">
        <v>1</v>
      </c>
      <c r="B20" t="s">
        <v>13</v>
      </c>
      <c r="C20" t="s">
        <v>11</v>
      </c>
      <c r="D20">
        <v>1</v>
      </c>
      <c r="E20">
        <v>1.23200750000023</v>
      </c>
      <c r="F20" t="s">
        <v>9</v>
      </c>
      <c r="G20" t="s">
        <v>6</v>
      </c>
      <c r="H20" t="s">
        <v>19</v>
      </c>
    </row>
    <row r="21" spans="1:8" x14ac:dyDescent="0.35">
      <c r="A21">
        <v>2</v>
      </c>
      <c r="B21" t="s">
        <v>7</v>
      </c>
      <c r="C21" t="s">
        <v>8</v>
      </c>
      <c r="D21">
        <v>1</v>
      </c>
      <c r="E21">
        <v>1.48371309999993</v>
      </c>
      <c r="F21" t="s">
        <v>6</v>
      </c>
      <c r="G21" t="s">
        <v>6</v>
      </c>
      <c r="H21" t="s">
        <v>20</v>
      </c>
    </row>
    <row r="22" spans="1:8" x14ac:dyDescent="0.35">
      <c r="A22">
        <v>1</v>
      </c>
      <c r="B22" t="s">
        <v>13</v>
      </c>
      <c r="C22" t="s">
        <v>11</v>
      </c>
      <c r="D22">
        <v>1</v>
      </c>
      <c r="E22">
        <v>1.49683520000007</v>
      </c>
      <c r="F22" t="s">
        <v>6</v>
      </c>
      <c r="G22" t="s">
        <v>6</v>
      </c>
      <c r="H22" t="s">
        <v>20</v>
      </c>
    </row>
    <row r="23" spans="1:8" x14ac:dyDescent="0.35">
      <c r="A23">
        <v>2</v>
      </c>
      <c r="B23" t="s">
        <v>7</v>
      </c>
      <c r="C23" t="s">
        <v>8</v>
      </c>
      <c r="D23">
        <v>1</v>
      </c>
      <c r="E23">
        <v>1.13128800000004</v>
      </c>
      <c r="F23" t="s">
        <v>9</v>
      </c>
      <c r="G23" t="s">
        <v>6</v>
      </c>
      <c r="H23" t="s">
        <v>19</v>
      </c>
    </row>
    <row r="24" spans="1:8" x14ac:dyDescent="0.35">
      <c r="A24">
        <v>1</v>
      </c>
      <c r="B24" t="s">
        <v>13</v>
      </c>
      <c r="C24" t="s">
        <v>11</v>
      </c>
      <c r="D24">
        <v>0</v>
      </c>
      <c r="E24">
        <v>1.2544533999998699</v>
      </c>
      <c r="F24" t="s">
        <v>9</v>
      </c>
      <c r="G24" t="s">
        <v>6</v>
      </c>
      <c r="H24" t="s">
        <v>19</v>
      </c>
    </row>
    <row r="25" spans="1:8" x14ac:dyDescent="0.35">
      <c r="A25">
        <v>2</v>
      </c>
      <c r="B25" t="s">
        <v>7</v>
      </c>
      <c r="C25" t="s">
        <v>8</v>
      </c>
      <c r="D25">
        <v>0</v>
      </c>
      <c r="E25">
        <v>1.7001783999999101</v>
      </c>
      <c r="F25" t="s">
        <v>6</v>
      </c>
      <c r="G25" t="s">
        <v>6</v>
      </c>
      <c r="H25" t="s">
        <v>20</v>
      </c>
    </row>
    <row r="26" spans="1:8" x14ac:dyDescent="0.35">
      <c r="A26">
        <v>1</v>
      </c>
      <c r="B26" t="s">
        <v>13</v>
      </c>
      <c r="C26" t="s">
        <v>11</v>
      </c>
      <c r="D26">
        <v>0</v>
      </c>
      <c r="E26">
        <v>1.5707890999997201</v>
      </c>
      <c r="F26" t="s">
        <v>6</v>
      </c>
      <c r="G26" t="s">
        <v>6</v>
      </c>
      <c r="H26" t="s">
        <v>20</v>
      </c>
    </row>
    <row r="27" spans="1:8" x14ac:dyDescent="0.35">
      <c r="A27">
        <v>2</v>
      </c>
      <c r="B27" t="s">
        <v>7</v>
      </c>
      <c r="C27" t="s">
        <v>8</v>
      </c>
      <c r="D27">
        <v>1</v>
      </c>
      <c r="E27">
        <v>1.1981637999997401</v>
      </c>
      <c r="F27" t="s">
        <v>9</v>
      </c>
      <c r="G27" t="s">
        <v>6</v>
      </c>
      <c r="H27" t="s">
        <v>19</v>
      </c>
    </row>
    <row r="28" spans="1:8" x14ac:dyDescent="0.35">
      <c r="A28">
        <v>1</v>
      </c>
      <c r="B28" t="s">
        <v>13</v>
      </c>
      <c r="C28" t="s">
        <v>11</v>
      </c>
      <c r="D28">
        <v>1</v>
      </c>
      <c r="E28">
        <v>1.2522667999996799</v>
      </c>
      <c r="F28" t="s">
        <v>9</v>
      </c>
      <c r="G28" t="s">
        <v>6</v>
      </c>
      <c r="H28" t="s">
        <v>19</v>
      </c>
    </row>
    <row r="29" spans="1:8" x14ac:dyDescent="0.35">
      <c r="A29">
        <v>2</v>
      </c>
      <c r="B29" t="s">
        <v>7</v>
      </c>
      <c r="C29" t="s">
        <v>8</v>
      </c>
      <c r="D29">
        <v>1</v>
      </c>
      <c r="E29">
        <v>1.5709459999998201</v>
      </c>
      <c r="F29" t="s">
        <v>6</v>
      </c>
      <c r="G29" t="s">
        <v>6</v>
      </c>
      <c r="H29" t="s">
        <v>20</v>
      </c>
    </row>
    <row r="30" spans="1:8" x14ac:dyDescent="0.35">
      <c r="A30">
        <v>1</v>
      </c>
      <c r="B30" t="s">
        <v>13</v>
      </c>
      <c r="C30" t="s">
        <v>11</v>
      </c>
      <c r="D30">
        <v>1</v>
      </c>
      <c r="E30">
        <v>1.63602300000002</v>
      </c>
      <c r="F30" t="s">
        <v>9</v>
      </c>
      <c r="G30" t="s">
        <v>6</v>
      </c>
      <c r="H30" t="s">
        <v>19</v>
      </c>
    </row>
    <row r="31" spans="1:8" x14ac:dyDescent="0.35">
      <c r="A31">
        <v>2</v>
      </c>
      <c r="B31" t="s">
        <v>7</v>
      </c>
      <c r="C31" t="s">
        <v>8</v>
      </c>
      <c r="D31">
        <v>1</v>
      </c>
      <c r="E31">
        <v>2.6628999999998002</v>
      </c>
      <c r="F31" t="s">
        <v>9</v>
      </c>
      <c r="G31" t="s">
        <v>6</v>
      </c>
      <c r="H31" t="s">
        <v>19</v>
      </c>
    </row>
    <row r="32" spans="1:8" x14ac:dyDescent="0.35">
      <c r="A32">
        <v>1</v>
      </c>
      <c r="B32" t="s">
        <v>13</v>
      </c>
      <c r="C32" t="s">
        <v>11</v>
      </c>
      <c r="D32">
        <v>1</v>
      </c>
      <c r="E32">
        <v>1.46318780000001</v>
      </c>
      <c r="F32" t="s">
        <v>6</v>
      </c>
      <c r="G32" t="s">
        <v>6</v>
      </c>
      <c r="H32" t="s">
        <v>20</v>
      </c>
    </row>
    <row r="33" spans="1:8" x14ac:dyDescent="0.35">
      <c r="A33">
        <v>2</v>
      </c>
      <c r="B33" t="s">
        <v>7</v>
      </c>
      <c r="C33" t="s">
        <v>8</v>
      </c>
      <c r="D33">
        <v>1</v>
      </c>
      <c r="E33">
        <v>1.9648130000000401</v>
      </c>
      <c r="F33" t="s">
        <v>9</v>
      </c>
      <c r="G33" t="s">
        <v>6</v>
      </c>
      <c r="H33" t="s">
        <v>19</v>
      </c>
    </row>
    <row r="34" spans="1:8" x14ac:dyDescent="0.35">
      <c r="A34">
        <v>1</v>
      </c>
      <c r="B34" t="s">
        <v>13</v>
      </c>
      <c r="C34" t="s">
        <v>11</v>
      </c>
      <c r="D34">
        <v>1</v>
      </c>
      <c r="E34">
        <v>1.15567959999998</v>
      </c>
      <c r="F34" t="s">
        <v>9</v>
      </c>
      <c r="G34" t="s">
        <v>6</v>
      </c>
      <c r="H34" t="s">
        <v>19</v>
      </c>
    </row>
    <row r="35" spans="1:8" x14ac:dyDescent="0.35">
      <c r="A35">
        <v>2</v>
      </c>
      <c r="B35" t="s">
        <v>7</v>
      </c>
      <c r="C35" t="s">
        <v>8</v>
      </c>
      <c r="D35">
        <v>1</v>
      </c>
      <c r="E35">
        <v>1.39308819999996</v>
      </c>
      <c r="F35" t="s">
        <v>9</v>
      </c>
      <c r="G35" t="s">
        <v>6</v>
      </c>
      <c r="H35" t="s">
        <v>19</v>
      </c>
    </row>
    <row r="36" spans="1:8" x14ac:dyDescent="0.35">
      <c r="A36">
        <v>2</v>
      </c>
      <c r="B36" t="s">
        <v>7</v>
      </c>
      <c r="C36" t="s">
        <v>8</v>
      </c>
      <c r="D36">
        <v>1</v>
      </c>
      <c r="E36">
        <v>1.7588019999998299</v>
      </c>
      <c r="F36" t="s">
        <v>6</v>
      </c>
      <c r="G36" t="s">
        <v>6</v>
      </c>
      <c r="H36" t="s">
        <v>20</v>
      </c>
    </row>
    <row r="37" spans="1:8" x14ac:dyDescent="0.35">
      <c r="A37">
        <v>1</v>
      </c>
      <c r="B37" t="s">
        <v>13</v>
      </c>
      <c r="C37" t="s">
        <v>11</v>
      </c>
      <c r="D37">
        <v>1</v>
      </c>
      <c r="E37">
        <v>1.2046808</v>
      </c>
      <c r="F37" t="s">
        <v>9</v>
      </c>
      <c r="G37" t="s">
        <v>6</v>
      </c>
      <c r="H37" t="s">
        <v>19</v>
      </c>
    </row>
    <row r="38" spans="1:8" x14ac:dyDescent="0.35">
      <c r="A38">
        <v>1</v>
      </c>
      <c r="B38" t="s">
        <v>13</v>
      </c>
      <c r="C38" t="s">
        <v>11</v>
      </c>
      <c r="D38">
        <v>1</v>
      </c>
      <c r="E38">
        <v>4.0918295999999801</v>
      </c>
      <c r="F38" t="s">
        <v>9</v>
      </c>
      <c r="G38" t="s">
        <v>6</v>
      </c>
      <c r="H38" t="s">
        <v>19</v>
      </c>
    </row>
    <row r="39" spans="1:8" x14ac:dyDescent="0.35">
      <c r="A39">
        <v>2</v>
      </c>
      <c r="B39" t="s">
        <v>7</v>
      </c>
      <c r="C39" t="s">
        <v>8</v>
      </c>
      <c r="D39">
        <v>1</v>
      </c>
      <c r="E39">
        <v>1.24822670000003</v>
      </c>
      <c r="F39" t="s">
        <v>9</v>
      </c>
      <c r="G39" t="s">
        <v>6</v>
      </c>
      <c r="H39" t="s">
        <v>19</v>
      </c>
    </row>
    <row r="40" spans="1:8" x14ac:dyDescent="0.35">
      <c r="A40">
        <v>1</v>
      </c>
      <c r="B40" t="s">
        <v>13</v>
      </c>
      <c r="C40" t="s">
        <v>11</v>
      </c>
      <c r="D40">
        <v>1</v>
      </c>
      <c r="E40">
        <v>1.6178027000000801</v>
      </c>
      <c r="F40" t="s">
        <v>9</v>
      </c>
      <c r="G40" t="s">
        <v>6</v>
      </c>
      <c r="H40" t="s">
        <v>19</v>
      </c>
    </row>
    <row r="41" spans="1:8" x14ac:dyDescent="0.35">
      <c r="A41">
        <v>2</v>
      </c>
      <c r="B41" t="s">
        <v>7</v>
      </c>
      <c r="C41" t="s">
        <v>8</v>
      </c>
      <c r="D41">
        <v>1</v>
      </c>
      <c r="E41">
        <v>1.1774319999999501</v>
      </c>
      <c r="F41" t="s">
        <v>9</v>
      </c>
      <c r="G41" t="s">
        <v>6</v>
      </c>
      <c r="H41" t="s">
        <v>19</v>
      </c>
    </row>
    <row r="42" spans="1:8" x14ac:dyDescent="0.35">
      <c r="A42">
        <v>1</v>
      </c>
      <c r="B42" t="s">
        <v>13</v>
      </c>
      <c r="C42" t="s">
        <v>11</v>
      </c>
      <c r="D42">
        <v>0</v>
      </c>
      <c r="E42">
        <v>1.5276170000001901</v>
      </c>
      <c r="F42" t="s">
        <v>9</v>
      </c>
      <c r="G42" t="s">
        <v>6</v>
      </c>
      <c r="H42" t="s">
        <v>19</v>
      </c>
    </row>
    <row r="43" spans="1:8" x14ac:dyDescent="0.35">
      <c r="A43">
        <v>2</v>
      </c>
      <c r="B43" t="s">
        <v>7</v>
      </c>
      <c r="C43" t="s">
        <v>8</v>
      </c>
      <c r="D43">
        <v>1</v>
      </c>
      <c r="E43">
        <v>1.0069578000002299</v>
      </c>
      <c r="F43" t="s">
        <v>9</v>
      </c>
      <c r="G43" t="s">
        <v>6</v>
      </c>
      <c r="H43" t="s">
        <v>19</v>
      </c>
    </row>
    <row r="44" spans="1:8" x14ac:dyDescent="0.35">
      <c r="A44">
        <v>2</v>
      </c>
      <c r="B44" t="s">
        <v>7</v>
      </c>
      <c r="C44" t="s">
        <v>8</v>
      </c>
      <c r="D44">
        <v>1</v>
      </c>
      <c r="E44">
        <v>1.36498699999992</v>
      </c>
      <c r="F44" t="s">
        <v>9</v>
      </c>
      <c r="G44" t="s">
        <v>6</v>
      </c>
      <c r="H44" t="s">
        <v>19</v>
      </c>
    </row>
    <row r="45" spans="1:8" x14ac:dyDescent="0.35">
      <c r="A45">
        <v>1</v>
      </c>
      <c r="B45" t="s">
        <v>13</v>
      </c>
      <c r="C45" t="s">
        <v>11</v>
      </c>
      <c r="D45">
        <v>1</v>
      </c>
      <c r="E45">
        <v>1.1428396999999599</v>
      </c>
      <c r="F45" t="s">
        <v>6</v>
      </c>
      <c r="G45" t="s">
        <v>6</v>
      </c>
      <c r="H45" t="s">
        <v>20</v>
      </c>
    </row>
    <row r="46" spans="1:8" x14ac:dyDescent="0.35">
      <c r="A46">
        <v>2</v>
      </c>
      <c r="B46" t="s">
        <v>7</v>
      </c>
      <c r="C46" t="s">
        <v>8</v>
      </c>
      <c r="D46">
        <v>1</v>
      </c>
      <c r="E46">
        <v>0.99186270000018295</v>
      </c>
      <c r="F46" t="s">
        <v>9</v>
      </c>
      <c r="G46" t="s">
        <v>6</v>
      </c>
      <c r="H46" t="s">
        <v>19</v>
      </c>
    </row>
    <row r="47" spans="1:8" x14ac:dyDescent="0.35">
      <c r="A47">
        <v>1</v>
      </c>
      <c r="B47" t="s">
        <v>13</v>
      </c>
      <c r="C47" t="s">
        <v>11</v>
      </c>
      <c r="D47">
        <v>1</v>
      </c>
      <c r="E47">
        <v>1.1565988000002101</v>
      </c>
      <c r="F47" t="s">
        <v>9</v>
      </c>
      <c r="G47" t="s">
        <v>6</v>
      </c>
      <c r="H47" t="s">
        <v>19</v>
      </c>
    </row>
    <row r="48" spans="1:8" x14ac:dyDescent="0.35">
      <c r="A48">
        <v>2</v>
      </c>
      <c r="B48" t="s">
        <v>7</v>
      </c>
      <c r="C48" t="s">
        <v>8</v>
      </c>
      <c r="D48">
        <v>1</v>
      </c>
      <c r="E48">
        <v>1.2109288999999901</v>
      </c>
      <c r="F48" t="s">
        <v>6</v>
      </c>
      <c r="G48" t="s">
        <v>6</v>
      </c>
      <c r="H48" t="s">
        <v>20</v>
      </c>
    </row>
    <row r="49" spans="1:8" x14ac:dyDescent="0.35">
      <c r="A49">
        <v>1</v>
      </c>
      <c r="B49" t="s">
        <v>13</v>
      </c>
      <c r="C49" t="s">
        <v>11</v>
      </c>
      <c r="D49">
        <v>1</v>
      </c>
      <c r="E49">
        <v>1.5708343999999601</v>
      </c>
      <c r="F49" t="s">
        <v>9</v>
      </c>
      <c r="G49" t="s">
        <v>6</v>
      </c>
      <c r="H49" t="s">
        <v>19</v>
      </c>
    </row>
    <row r="50" spans="1:8" x14ac:dyDescent="0.35">
      <c r="A50">
        <v>1</v>
      </c>
      <c r="B50" t="s">
        <v>13</v>
      </c>
      <c r="C50" t="s">
        <v>11</v>
      </c>
      <c r="D50">
        <v>1</v>
      </c>
      <c r="E50">
        <v>1.15258559999983</v>
      </c>
      <c r="F50" t="s">
        <v>9</v>
      </c>
      <c r="G50" t="s">
        <v>6</v>
      </c>
      <c r="H50" t="s">
        <v>19</v>
      </c>
    </row>
    <row r="51" spans="1:8" x14ac:dyDescent="0.35">
      <c r="A51">
        <v>2</v>
      </c>
      <c r="B51" t="s">
        <v>7</v>
      </c>
      <c r="C51" t="s">
        <v>8</v>
      </c>
      <c r="D51">
        <v>1</v>
      </c>
      <c r="E51">
        <v>1.58594670000002</v>
      </c>
      <c r="F51" t="s">
        <v>6</v>
      </c>
      <c r="G51" t="s">
        <v>6</v>
      </c>
      <c r="H51" t="s">
        <v>20</v>
      </c>
    </row>
    <row r="52" spans="1:8" x14ac:dyDescent="0.35">
      <c r="A52">
        <v>3</v>
      </c>
      <c r="B52" t="s">
        <v>10</v>
      </c>
      <c r="C52" t="s">
        <v>11</v>
      </c>
      <c r="D52">
        <v>1</v>
      </c>
      <c r="E52">
        <v>2.0880595000003201</v>
      </c>
      <c r="F52" t="s">
        <v>6</v>
      </c>
      <c r="G52" t="s">
        <v>9</v>
      </c>
      <c r="H52" t="s">
        <v>17</v>
      </c>
    </row>
    <row r="53" spans="1:8" x14ac:dyDescent="0.35">
      <c r="A53">
        <v>4</v>
      </c>
      <c r="B53" t="s">
        <v>12</v>
      </c>
      <c r="C53" t="s">
        <v>8</v>
      </c>
      <c r="D53">
        <v>1</v>
      </c>
      <c r="E53">
        <v>2.78108699999984</v>
      </c>
      <c r="F53" t="s">
        <v>9</v>
      </c>
      <c r="G53" t="s">
        <v>9</v>
      </c>
      <c r="H53" t="s">
        <v>18</v>
      </c>
    </row>
    <row r="54" spans="1:8" x14ac:dyDescent="0.35">
      <c r="A54">
        <v>3</v>
      </c>
      <c r="B54" t="s">
        <v>10</v>
      </c>
      <c r="C54" t="s">
        <v>11</v>
      </c>
      <c r="D54">
        <v>1</v>
      </c>
      <c r="E54">
        <v>1.4871057000000201</v>
      </c>
      <c r="F54" t="s">
        <v>6</v>
      </c>
      <c r="G54" t="s">
        <v>9</v>
      </c>
      <c r="H54" t="s">
        <v>17</v>
      </c>
    </row>
    <row r="55" spans="1:8" x14ac:dyDescent="0.35">
      <c r="A55">
        <v>4</v>
      </c>
      <c r="B55" t="s">
        <v>12</v>
      </c>
      <c r="C55" t="s">
        <v>8</v>
      </c>
      <c r="D55">
        <v>1</v>
      </c>
      <c r="E55">
        <v>2.05412560000013</v>
      </c>
      <c r="F55" t="s">
        <v>6</v>
      </c>
      <c r="G55" t="s">
        <v>9</v>
      </c>
      <c r="H55" t="s">
        <v>17</v>
      </c>
    </row>
    <row r="56" spans="1:8" x14ac:dyDescent="0.35">
      <c r="A56">
        <v>4</v>
      </c>
      <c r="B56" t="s">
        <v>12</v>
      </c>
      <c r="C56" t="s">
        <v>8</v>
      </c>
      <c r="D56">
        <v>1</v>
      </c>
      <c r="E56">
        <v>2.4774529999999602</v>
      </c>
      <c r="F56" t="s">
        <v>6</v>
      </c>
      <c r="G56" t="s">
        <v>9</v>
      </c>
      <c r="H56" t="s">
        <v>17</v>
      </c>
    </row>
    <row r="57" spans="1:8" x14ac:dyDescent="0.35">
      <c r="A57">
        <v>3</v>
      </c>
      <c r="B57" t="s">
        <v>10</v>
      </c>
      <c r="C57" t="s">
        <v>11</v>
      </c>
      <c r="D57">
        <v>1</v>
      </c>
      <c r="E57">
        <v>1.55638980000003</v>
      </c>
      <c r="F57" t="s">
        <v>9</v>
      </c>
      <c r="G57" t="s">
        <v>9</v>
      </c>
      <c r="H57" t="s">
        <v>18</v>
      </c>
    </row>
    <row r="58" spans="1:8" x14ac:dyDescent="0.35">
      <c r="A58">
        <v>3</v>
      </c>
      <c r="B58" t="s">
        <v>10</v>
      </c>
      <c r="C58" t="s">
        <v>11</v>
      </c>
      <c r="D58">
        <v>1</v>
      </c>
      <c r="E58">
        <v>2.0804901999999799</v>
      </c>
      <c r="F58" t="s">
        <v>6</v>
      </c>
      <c r="G58" t="s">
        <v>9</v>
      </c>
      <c r="H58" t="s">
        <v>17</v>
      </c>
    </row>
    <row r="59" spans="1:8" x14ac:dyDescent="0.35">
      <c r="A59">
        <v>4</v>
      </c>
      <c r="B59" t="s">
        <v>12</v>
      </c>
      <c r="C59" t="s">
        <v>8</v>
      </c>
      <c r="D59">
        <v>1</v>
      </c>
      <c r="E59">
        <v>3.7791722999995701</v>
      </c>
      <c r="F59" t="s">
        <v>6</v>
      </c>
      <c r="G59" t="s">
        <v>9</v>
      </c>
      <c r="H59" t="s">
        <v>17</v>
      </c>
    </row>
    <row r="60" spans="1:8" x14ac:dyDescent="0.35">
      <c r="A60">
        <v>4</v>
      </c>
      <c r="B60" t="s">
        <v>12</v>
      </c>
      <c r="C60" t="s">
        <v>8</v>
      </c>
      <c r="D60">
        <v>1</v>
      </c>
      <c r="E60">
        <v>2.34827069999983</v>
      </c>
      <c r="F60" t="s">
        <v>9</v>
      </c>
      <c r="G60" t="s">
        <v>9</v>
      </c>
      <c r="H60" t="s">
        <v>18</v>
      </c>
    </row>
    <row r="61" spans="1:8" x14ac:dyDescent="0.35">
      <c r="A61">
        <v>3</v>
      </c>
      <c r="B61" t="s">
        <v>10</v>
      </c>
      <c r="C61" t="s">
        <v>11</v>
      </c>
      <c r="D61">
        <v>0</v>
      </c>
      <c r="E61">
        <v>5.9115758999996597</v>
      </c>
      <c r="F61" t="s">
        <v>9</v>
      </c>
      <c r="G61" t="s">
        <v>9</v>
      </c>
      <c r="H61" t="s">
        <v>18</v>
      </c>
    </row>
    <row r="62" spans="1:8" x14ac:dyDescent="0.35">
      <c r="A62">
        <v>4</v>
      </c>
      <c r="B62" t="s">
        <v>12</v>
      </c>
      <c r="C62" t="s">
        <v>8</v>
      </c>
      <c r="D62">
        <v>1</v>
      </c>
      <c r="E62">
        <v>4.1524458999997398</v>
      </c>
      <c r="F62" t="s">
        <v>6</v>
      </c>
      <c r="G62" t="s">
        <v>9</v>
      </c>
      <c r="H62" t="s">
        <v>17</v>
      </c>
    </row>
    <row r="63" spans="1:8" x14ac:dyDescent="0.35">
      <c r="A63">
        <v>3</v>
      </c>
      <c r="B63" t="s">
        <v>10</v>
      </c>
      <c r="C63" t="s">
        <v>11</v>
      </c>
      <c r="D63">
        <v>1</v>
      </c>
      <c r="E63">
        <v>3.12419559999989</v>
      </c>
      <c r="F63" t="s">
        <v>9</v>
      </c>
      <c r="G63" t="s">
        <v>9</v>
      </c>
      <c r="H63" t="s">
        <v>18</v>
      </c>
    </row>
    <row r="64" spans="1:8" x14ac:dyDescent="0.35">
      <c r="A64">
        <v>3</v>
      </c>
      <c r="B64" t="s">
        <v>10</v>
      </c>
      <c r="C64" t="s">
        <v>11</v>
      </c>
      <c r="D64">
        <v>1</v>
      </c>
      <c r="E64">
        <v>3.64794000000028</v>
      </c>
      <c r="F64" t="s">
        <v>6</v>
      </c>
      <c r="G64" t="s">
        <v>9</v>
      </c>
      <c r="H64" t="s">
        <v>17</v>
      </c>
    </row>
    <row r="65" spans="1:8" x14ac:dyDescent="0.35">
      <c r="A65">
        <v>4</v>
      </c>
      <c r="B65" t="s">
        <v>12</v>
      </c>
      <c r="C65" t="s">
        <v>8</v>
      </c>
      <c r="D65">
        <v>1</v>
      </c>
      <c r="E65">
        <v>3.11181179999994</v>
      </c>
      <c r="F65" t="s">
        <v>9</v>
      </c>
      <c r="G65" t="s">
        <v>9</v>
      </c>
      <c r="H65" t="s">
        <v>18</v>
      </c>
    </row>
    <row r="66" spans="1:8" x14ac:dyDescent="0.35">
      <c r="A66">
        <v>3</v>
      </c>
      <c r="B66" t="s">
        <v>10</v>
      </c>
      <c r="C66" t="s">
        <v>11</v>
      </c>
      <c r="D66">
        <v>1</v>
      </c>
      <c r="E66">
        <v>2.1841817000004</v>
      </c>
      <c r="F66" t="s">
        <v>6</v>
      </c>
      <c r="G66" t="s">
        <v>9</v>
      </c>
      <c r="H66" t="s">
        <v>17</v>
      </c>
    </row>
    <row r="67" spans="1:8" x14ac:dyDescent="0.35">
      <c r="A67">
        <v>4</v>
      </c>
      <c r="B67" t="s">
        <v>12</v>
      </c>
      <c r="C67" t="s">
        <v>8</v>
      </c>
      <c r="D67">
        <v>1</v>
      </c>
      <c r="E67">
        <v>1.91942220000009</v>
      </c>
      <c r="F67" t="s">
        <v>6</v>
      </c>
      <c r="G67" t="s">
        <v>9</v>
      </c>
      <c r="H67" t="s">
        <v>17</v>
      </c>
    </row>
    <row r="68" spans="1:8" x14ac:dyDescent="0.35">
      <c r="A68">
        <v>4</v>
      </c>
      <c r="B68" t="s">
        <v>12</v>
      </c>
      <c r="C68" t="s">
        <v>8</v>
      </c>
      <c r="D68">
        <v>0</v>
      </c>
      <c r="E68">
        <v>4.1314729000000598</v>
      </c>
      <c r="F68" t="s">
        <v>6</v>
      </c>
      <c r="G68" t="s">
        <v>9</v>
      </c>
      <c r="H68" t="s">
        <v>17</v>
      </c>
    </row>
    <row r="69" spans="1:8" x14ac:dyDescent="0.35">
      <c r="A69">
        <v>3</v>
      </c>
      <c r="B69" t="s">
        <v>10</v>
      </c>
      <c r="C69" t="s">
        <v>11</v>
      </c>
      <c r="D69">
        <v>1</v>
      </c>
      <c r="E69">
        <v>1.6767709000000599</v>
      </c>
      <c r="F69" t="s">
        <v>6</v>
      </c>
      <c r="G69" t="s">
        <v>9</v>
      </c>
      <c r="H69" t="s">
        <v>17</v>
      </c>
    </row>
    <row r="70" spans="1:8" x14ac:dyDescent="0.35">
      <c r="A70">
        <v>4</v>
      </c>
      <c r="B70" t="s">
        <v>12</v>
      </c>
      <c r="C70" t="s">
        <v>8</v>
      </c>
      <c r="D70">
        <v>1</v>
      </c>
      <c r="E70">
        <v>2.4893953000000599</v>
      </c>
      <c r="F70" t="s">
        <v>9</v>
      </c>
      <c r="G70" t="s">
        <v>9</v>
      </c>
      <c r="H70" t="s">
        <v>18</v>
      </c>
    </row>
    <row r="71" spans="1:8" x14ac:dyDescent="0.35">
      <c r="A71">
        <v>3</v>
      </c>
      <c r="B71" t="s">
        <v>10</v>
      </c>
      <c r="C71" t="s">
        <v>11</v>
      </c>
      <c r="D71">
        <v>0</v>
      </c>
      <c r="E71">
        <v>2.05434530000002</v>
      </c>
      <c r="F71" t="s">
        <v>9</v>
      </c>
      <c r="G71" t="s">
        <v>9</v>
      </c>
      <c r="H71" t="s">
        <v>18</v>
      </c>
    </row>
    <row r="72" spans="1:8" x14ac:dyDescent="0.35">
      <c r="A72">
        <v>4</v>
      </c>
      <c r="B72" t="s">
        <v>12</v>
      </c>
      <c r="C72" t="s">
        <v>8</v>
      </c>
      <c r="D72">
        <v>0</v>
      </c>
      <c r="E72">
        <v>1.49588660000017</v>
      </c>
      <c r="F72" t="s">
        <v>6</v>
      </c>
      <c r="G72" t="s">
        <v>9</v>
      </c>
      <c r="H72" t="s">
        <v>17</v>
      </c>
    </row>
    <row r="73" spans="1:8" x14ac:dyDescent="0.35">
      <c r="A73">
        <v>3</v>
      </c>
      <c r="B73" t="s">
        <v>10</v>
      </c>
      <c r="C73" t="s">
        <v>11</v>
      </c>
      <c r="D73">
        <v>0</v>
      </c>
      <c r="E73">
        <v>2.2841917999999102</v>
      </c>
      <c r="F73" t="s">
        <v>9</v>
      </c>
      <c r="G73" t="s">
        <v>9</v>
      </c>
      <c r="H73" t="s">
        <v>18</v>
      </c>
    </row>
    <row r="74" spans="1:8" x14ac:dyDescent="0.35">
      <c r="A74">
        <v>3</v>
      </c>
      <c r="B74" t="s">
        <v>10</v>
      </c>
      <c r="C74" t="s">
        <v>11</v>
      </c>
      <c r="D74">
        <v>1</v>
      </c>
      <c r="E74">
        <v>1.76419530000021</v>
      </c>
      <c r="F74" t="s">
        <v>6</v>
      </c>
      <c r="G74" t="s">
        <v>9</v>
      </c>
      <c r="H74" t="s">
        <v>17</v>
      </c>
    </row>
    <row r="75" spans="1:8" x14ac:dyDescent="0.35">
      <c r="A75">
        <v>4</v>
      </c>
      <c r="B75" t="s">
        <v>12</v>
      </c>
      <c r="C75" t="s">
        <v>8</v>
      </c>
      <c r="D75">
        <v>1</v>
      </c>
      <c r="E75">
        <v>2.4089407000001302</v>
      </c>
      <c r="F75" t="s">
        <v>9</v>
      </c>
      <c r="G75" t="s">
        <v>9</v>
      </c>
      <c r="H75" t="s">
        <v>18</v>
      </c>
    </row>
    <row r="76" spans="1:8" x14ac:dyDescent="0.35">
      <c r="A76">
        <v>3</v>
      </c>
      <c r="B76" t="s">
        <v>10</v>
      </c>
      <c r="C76" t="s">
        <v>11</v>
      </c>
      <c r="D76">
        <v>1</v>
      </c>
      <c r="E76">
        <v>3.0548498000002802</v>
      </c>
      <c r="F76" t="s">
        <v>6</v>
      </c>
      <c r="G76" t="s">
        <v>9</v>
      </c>
      <c r="H76" t="s">
        <v>17</v>
      </c>
    </row>
    <row r="77" spans="1:8" x14ac:dyDescent="0.35">
      <c r="A77">
        <v>4</v>
      </c>
      <c r="B77" t="s">
        <v>12</v>
      </c>
      <c r="C77" t="s">
        <v>8</v>
      </c>
      <c r="D77">
        <v>1</v>
      </c>
      <c r="E77">
        <v>2.0033010000001901</v>
      </c>
      <c r="F77" t="s">
        <v>6</v>
      </c>
      <c r="G77" t="s">
        <v>9</v>
      </c>
      <c r="H77" t="s">
        <v>17</v>
      </c>
    </row>
    <row r="78" spans="1:8" x14ac:dyDescent="0.35">
      <c r="A78">
        <v>3</v>
      </c>
      <c r="B78" t="s">
        <v>10</v>
      </c>
      <c r="C78" t="s">
        <v>11</v>
      </c>
      <c r="D78">
        <v>1</v>
      </c>
      <c r="E78">
        <v>3.1643450000001301</v>
      </c>
      <c r="F78" t="s">
        <v>9</v>
      </c>
      <c r="G78" t="s">
        <v>9</v>
      </c>
      <c r="H78" t="s">
        <v>18</v>
      </c>
    </row>
    <row r="79" spans="1:8" x14ac:dyDescent="0.35">
      <c r="A79">
        <v>4</v>
      </c>
      <c r="B79" t="s">
        <v>12</v>
      </c>
      <c r="C79" t="s">
        <v>8</v>
      </c>
      <c r="D79">
        <v>1</v>
      </c>
      <c r="E79">
        <v>2.56604199999992</v>
      </c>
      <c r="F79" t="s">
        <v>9</v>
      </c>
      <c r="G79" t="s">
        <v>9</v>
      </c>
      <c r="H79" t="s">
        <v>18</v>
      </c>
    </row>
    <row r="80" spans="1:8" x14ac:dyDescent="0.35">
      <c r="A80">
        <v>4</v>
      </c>
      <c r="B80" t="s">
        <v>12</v>
      </c>
      <c r="C80" t="s">
        <v>8</v>
      </c>
      <c r="D80">
        <v>1</v>
      </c>
      <c r="E80">
        <v>1.6372022999998901</v>
      </c>
      <c r="F80" t="s">
        <v>6</v>
      </c>
      <c r="G80" t="s">
        <v>9</v>
      </c>
      <c r="H80" t="s">
        <v>17</v>
      </c>
    </row>
    <row r="81" spans="1:8" x14ac:dyDescent="0.35">
      <c r="A81">
        <v>3</v>
      </c>
      <c r="B81" t="s">
        <v>10</v>
      </c>
      <c r="C81" t="s">
        <v>11</v>
      </c>
      <c r="D81">
        <v>1</v>
      </c>
      <c r="E81">
        <v>1.55598510000027</v>
      </c>
      <c r="F81" t="s">
        <v>6</v>
      </c>
      <c r="G81" t="s">
        <v>9</v>
      </c>
      <c r="H81" t="s">
        <v>17</v>
      </c>
    </row>
    <row r="82" spans="1:8" x14ac:dyDescent="0.35">
      <c r="A82">
        <v>4</v>
      </c>
      <c r="B82" t="s">
        <v>12</v>
      </c>
      <c r="C82" t="s">
        <v>8</v>
      </c>
      <c r="D82">
        <v>1</v>
      </c>
      <c r="E82">
        <v>1.8171907999999299</v>
      </c>
      <c r="F82" t="s">
        <v>6</v>
      </c>
      <c r="G82" t="s">
        <v>9</v>
      </c>
      <c r="H82" t="s">
        <v>17</v>
      </c>
    </row>
    <row r="83" spans="1:8" x14ac:dyDescent="0.35">
      <c r="A83">
        <v>3</v>
      </c>
      <c r="B83" t="s">
        <v>10</v>
      </c>
      <c r="C83" t="s">
        <v>11</v>
      </c>
      <c r="D83">
        <v>1</v>
      </c>
      <c r="E83">
        <v>1.93067549999977</v>
      </c>
      <c r="F83" t="s">
        <v>9</v>
      </c>
      <c r="G83" t="s">
        <v>9</v>
      </c>
      <c r="H83" t="s">
        <v>18</v>
      </c>
    </row>
    <row r="84" spans="1:8" x14ac:dyDescent="0.35">
      <c r="A84">
        <v>4</v>
      </c>
      <c r="B84" t="s">
        <v>12</v>
      </c>
      <c r="C84" t="s">
        <v>8</v>
      </c>
      <c r="D84">
        <v>0</v>
      </c>
      <c r="E84">
        <v>2.75908470000013</v>
      </c>
      <c r="F84" t="s">
        <v>6</v>
      </c>
      <c r="G84" t="s">
        <v>9</v>
      </c>
      <c r="H84" t="s">
        <v>17</v>
      </c>
    </row>
    <row r="85" spans="1:8" x14ac:dyDescent="0.35">
      <c r="A85">
        <v>3</v>
      </c>
      <c r="B85" t="s">
        <v>10</v>
      </c>
      <c r="C85" t="s">
        <v>11</v>
      </c>
      <c r="D85">
        <v>0</v>
      </c>
      <c r="E85">
        <v>1.7418450000000101</v>
      </c>
      <c r="F85" t="s">
        <v>6</v>
      </c>
      <c r="G85" t="s">
        <v>9</v>
      </c>
      <c r="H85" t="s">
        <v>17</v>
      </c>
    </row>
    <row r="86" spans="1:8" x14ac:dyDescent="0.35">
      <c r="A86">
        <v>3</v>
      </c>
      <c r="B86" t="s">
        <v>10</v>
      </c>
      <c r="C86" t="s">
        <v>11</v>
      </c>
      <c r="D86">
        <v>1</v>
      </c>
      <c r="E86">
        <v>1.7642270000001099</v>
      </c>
      <c r="F86" t="s">
        <v>6</v>
      </c>
      <c r="G86" t="s">
        <v>9</v>
      </c>
      <c r="H86" t="s">
        <v>17</v>
      </c>
    </row>
    <row r="87" spans="1:8" x14ac:dyDescent="0.35">
      <c r="A87">
        <v>4</v>
      </c>
      <c r="B87" t="s">
        <v>12</v>
      </c>
      <c r="C87" t="s">
        <v>8</v>
      </c>
      <c r="D87">
        <v>0</v>
      </c>
      <c r="E87">
        <v>2.3636536999997499</v>
      </c>
      <c r="F87" t="s">
        <v>6</v>
      </c>
      <c r="G87" t="s">
        <v>9</v>
      </c>
      <c r="H87" t="s">
        <v>17</v>
      </c>
    </row>
    <row r="88" spans="1:8" x14ac:dyDescent="0.35">
      <c r="A88">
        <v>3</v>
      </c>
      <c r="B88" t="s">
        <v>10</v>
      </c>
      <c r="C88" t="s">
        <v>11</v>
      </c>
      <c r="D88">
        <v>0</v>
      </c>
      <c r="E88">
        <v>2.9155147000001298</v>
      </c>
      <c r="F88" t="s">
        <v>9</v>
      </c>
      <c r="G88" t="s">
        <v>9</v>
      </c>
      <c r="H88" t="s">
        <v>18</v>
      </c>
    </row>
    <row r="89" spans="1:8" x14ac:dyDescent="0.35">
      <c r="A89">
        <v>4</v>
      </c>
      <c r="B89" t="s">
        <v>12</v>
      </c>
      <c r="C89" t="s">
        <v>8</v>
      </c>
      <c r="D89">
        <v>1</v>
      </c>
      <c r="E89">
        <v>2.3561055000000102</v>
      </c>
      <c r="F89" t="s">
        <v>6</v>
      </c>
      <c r="G89" t="s">
        <v>9</v>
      </c>
      <c r="H89" t="s">
        <v>17</v>
      </c>
    </row>
    <row r="90" spans="1:8" x14ac:dyDescent="0.35">
      <c r="A90">
        <v>3</v>
      </c>
      <c r="B90" t="s">
        <v>10</v>
      </c>
      <c r="C90" t="s">
        <v>11</v>
      </c>
      <c r="D90">
        <v>1</v>
      </c>
      <c r="E90">
        <v>1.39175149999982</v>
      </c>
      <c r="F90" t="s">
        <v>6</v>
      </c>
      <c r="G90" t="s">
        <v>9</v>
      </c>
      <c r="H90" t="s">
        <v>17</v>
      </c>
    </row>
    <row r="91" spans="1:8" x14ac:dyDescent="0.35">
      <c r="A91">
        <v>4</v>
      </c>
      <c r="B91" t="s">
        <v>12</v>
      </c>
      <c r="C91" t="s">
        <v>8</v>
      </c>
      <c r="D91">
        <v>1</v>
      </c>
      <c r="E91">
        <v>2.3494390999999202</v>
      </c>
      <c r="F91" t="s">
        <v>6</v>
      </c>
      <c r="G91" t="s">
        <v>9</v>
      </c>
      <c r="H91" t="s">
        <v>17</v>
      </c>
    </row>
    <row r="92" spans="1:8" x14ac:dyDescent="0.35">
      <c r="A92">
        <v>3</v>
      </c>
      <c r="B92" t="s">
        <v>10</v>
      </c>
      <c r="C92" t="s">
        <v>11</v>
      </c>
      <c r="D92">
        <v>1</v>
      </c>
      <c r="E92">
        <v>1.8181730999999599</v>
      </c>
      <c r="F92" t="s">
        <v>6</v>
      </c>
      <c r="G92" t="s">
        <v>9</v>
      </c>
      <c r="H92" t="s">
        <v>17</v>
      </c>
    </row>
    <row r="93" spans="1:8" x14ac:dyDescent="0.35">
      <c r="A93">
        <v>4</v>
      </c>
      <c r="B93" t="s">
        <v>12</v>
      </c>
      <c r="C93" t="s">
        <v>8</v>
      </c>
      <c r="D93">
        <v>1</v>
      </c>
      <c r="E93">
        <v>1.87345700000014</v>
      </c>
      <c r="F93" t="s">
        <v>6</v>
      </c>
      <c r="G93" t="s">
        <v>9</v>
      </c>
      <c r="H93" t="s">
        <v>17</v>
      </c>
    </row>
    <row r="94" spans="1:8" x14ac:dyDescent="0.35">
      <c r="A94">
        <v>3</v>
      </c>
      <c r="B94" t="s">
        <v>10</v>
      </c>
      <c r="C94" t="s">
        <v>11</v>
      </c>
      <c r="D94">
        <v>1</v>
      </c>
      <c r="E94">
        <v>2.06319520000033</v>
      </c>
      <c r="F94" t="s">
        <v>6</v>
      </c>
      <c r="G94" t="s">
        <v>9</v>
      </c>
      <c r="H94" t="s">
        <v>17</v>
      </c>
    </row>
    <row r="95" spans="1:8" x14ac:dyDescent="0.35">
      <c r="A95">
        <v>4</v>
      </c>
      <c r="B95" t="s">
        <v>12</v>
      </c>
      <c r="C95" t="s">
        <v>8</v>
      </c>
      <c r="D95">
        <v>1</v>
      </c>
      <c r="E95">
        <v>2.4151544000001102</v>
      </c>
      <c r="F95" t="s">
        <v>6</v>
      </c>
      <c r="G95" t="s">
        <v>9</v>
      </c>
      <c r="H95" t="s">
        <v>17</v>
      </c>
    </row>
    <row r="96" spans="1:8" x14ac:dyDescent="0.35">
      <c r="A96">
        <v>4</v>
      </c>
      <c r="B96" t="s">
        <v>12</v>
      </c>
      <c r="C96" t="s">
        <v>8</v>
      </c>
      <c r="D96">
        <v>1</v>
      </c>
      <c r="E96">
        <v>1.8475348000001699</v>
      </c>
      <c r="F96" t="s">
        <v>9</v>
      </c>
      <c r="G96" t="s">
        <v>9</v>
      </c>
      <c r="H96" t="s">
        <v>18</v>
      </c>
    </row>
    <row r="97" spans="1:8" x14ac:dyDescent="0.35">
      <c r="A97">
        <v>3</v>
      </c>
      <c r="B97" t="s">
        <v>10</v>
      </c>
      <c r="C97" t="s">
        <v>11</v>
      </c>
      <c r="D97">
        <v>1</v>
      </c>
      <c r="E97">
        <v>2.7421908000001101</v>
      </c>
      <c r="F97" t="s">
        <v>6</v>
      </c>
      <c r="G97" t="s">
        <v>9</v>
      </c>
      <c r="H97" t="s">
        <v>17</v>
      </c>
    </row>
    <row r="98" spans="1:8" x14ac:dyDescent="0.35">
      <c r="A98">
        <v>4</v>
      </c>
      <c r="B98" t="s">
        <v>12</v>
      </c>
      <c r="C98" t="s">
        <v>8</v>
      </c>
      <c r="D98">
        <v>1</v>
      </c>
      <c r="E98">
        <v>1.8089843000002399</v>
      </c>
      <c r="F98" t="s">
        <v>6</v>
      </c>
      <c r="G98" t="s">
        <v>9</v>
      </c>
      <c r="H98" t="s">
        <v>17</v>
      </c>
    </row>
    <row r="99" spans="1:8" x14ac:dyDescent="0.35">
      <c r="A99">
        <v>3</v>
      </c>
      <c r="B99" t="s">
        <v>10</v>
      </c>
      <c r="C99" t="s">
        <v>11</v>
      </c>
      <c r="D99">
        <v>1</v>
      </c>
      <c r="E99">
        <v>2.7696026999997199</v>
      </c>
      <c r="F99" t="s">
        <v>6</v>
      </c>
      <c r="G99" t="s">
        <v>9</v>
      </c>
      <c r="H99" t="s">
        <v>17</v>
      </c>
    </row>
    <row r="100" spans="1:8" x14ac:dyDescent="0.35">
      <c r="A100">
        <v>3</v>
      </c>
      <c r="B100" t="s">
        <v>10</v>
      </c>
      <c r="C100" t="s">
        <v>11</v>
      </c>
      <c r="D100">
        <v>1</v>
      </c>
      <c r="E100">
        <v>2.89019879999978</v>
      </c>
      <c r="F100" t="s">
        <v>6</v>
      </c>
      <c r="G100" t="s">
        <v>9</v>
      </c>
      <c r="H100" t="s">
        <v>17</v>
      </c>
    </row>
    <row r="101" spans="1:8" x14ac:dyDescent="0.35">
      <c r="A101">
        <v>4</v>
      </c>
      <c r="B101" t="s">
        <v>12</v>
      </c>
      <c r="C101" t="s">
        <v>8</v>
      </c>
      <c r="D101">
        <v>1</v>
      </c>
      <c r="E101">
        <v>2.3699821000000099</v>
      </c>
      <c r="F101" t="s">
        <v>9</v>
      </c>
      <c r="G101" t="s">
        <v>9</v>
      </c>
      <c r="H101" t="s">
        <v>18</v>
      </c>
    </row>
  </sheetData>
  <autoFilter ref="D1:D101" xr:uid="{D73D3E8C-079E-4AF9-9A76-75EE4B4C6AC6}"/>
  <sortState xmlns:xlrd2="http://schemas.microsoft.com/office/spreadsheetml/2017/richdata2" ref="A2:H101">
    <sortCondition ref="G1:G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_par_4_flankers_task_final_2025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nathwani</dc:creator>
  <cp:lastModifiedBy>rahul pandya</cp:lastModifiedBy>
  <dcterms:created xsi:type="dcterms:W3CDTF">2025-11-10T18:02:15Z</dcterms:created>
  <dcterms:modified xsi:type="dcterms:W3CDTF">2025-11-20T06:54:30Z</dcterms:modified>
</cp:coreProperties>
</file>